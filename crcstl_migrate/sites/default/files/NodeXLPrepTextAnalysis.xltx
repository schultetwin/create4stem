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workbookPr codeName="ThisWorkbook" defaultThemeVersion="124226"/>
  <bookViews>
    <workbookView xWindow="90" yWindow="1680" windowWidth="22170" windowHeight="7875" activeTab="8"/>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 name="PREPEDGES" sheetId="8" r:id="rId8"/>
    <sheet name="PREPVERTICES" sheetId="9" r:id="rId9"/>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45621"/>
</workbook>
</file>

<file path=xl/calcChain.xml><?xml version="1.0" encoding="utf-8"?>
<calcChain xmlns="http://schemas.openxmlformats.org/spreadsheetml/2006/main">
  <c r="E2" i="9" l="1"/>
  <c r="D2" i="8"/>
  <c r="F2" i="8" l="1"/>
  <c r="G2" i="8" s="1"/>
  <c r="B125" i="7" l="1"/>
  <c r="B124" i="7"/>
  <c r="B127" i="7"/>
  <c r="B126" i="7"/>
  <c r="P45" i="7"/>
  <c r="Q45" i="7" s="1"/>
  <c r="P2" i="7"/>
  <c r="B139" i="7"/>
  <c r="B138" i="7"/>
  <c r="B141" i="7"/>
  <c r="B140" i="7"/>
  <c r="R45" i="7"/>
  <c r="S45" i="7" s="1"/>
  <c r="R2" i="7"/>
  <c r="B111" i="7"/>
  <c r="B110" i="7"/>
  <c r="B113" i="7"/>
  <c r="B112" i="7"/>
  <c r="N45" i="7"/>
  <c r="O45" i="7" s="1"/>
  <c r="N2" i="7"/>
  <c r="B97" i="7"/>
  <c r="B96" i="7"/>
  <c r="B83" i="7"/>
  <c r="B82" i="7"/>
  <c r="B99" i="7"/>
  <c r="B98" i="7"/>
  <c r="L45" i="7"/>
  <c r="M45" i="7" s="1"/>
  <c r="L2" i="7"/>
  <c r="B69" i="7"/>
  <c r="B68" i="7"/>
  <c r="B55" i="7"/>
  <c r="B54" i="7"/>
  <c r="B85" i="7"/>
  <c r="B84" i="7"/>
  <c r="J45" i="7"/>
  <c r="K45" i="7" s="1"/>
  <c r="J2" i="7"/>
  <c r="B71" i="7"/>
  <c r="B70" i="7"/>
  <c r="H45" i="7"/>
  <c r="I45" i="7" s="1"/>
  <c r="H2" i="7"/>
  <c r="B57" i="7"/>
  <c r="B56" i="7"/>
  <c r="F45" i="7"/>
  <c r="G45" i="7" s="1"/>
  <c r="F2" i="7"/>
  <c r="B41" i="7"/>
  <c r="B40" i="7"/>
  <c r="B43" i="7"/>
  <c r="B42"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text>
        <r>
          <rPr>
            <b/>
            <sz val="8"/>
            <color indexed="81"/>
            <rFont val="Tahoma"/>
            <family val="2"/>
          </rPr>
          <t xml:space="preserve">Edge Reciprocated?
</t>
        </r>
        <r>
          <rPr>
            <sz val="8"/>
            <color indexed="81"/>
            <rFont val="Tahoma"/>
            <family val="2"/>
          </rPr>
          <t xml:space="preserve">
This and other graph metrics can be computed with the Graph Metrics button in the Analysis group in the NodeXL Ribbon tab</t>
        </r>
        <r>
          <rPr>
            <sz val="9"/>
            <color indexed="81"/>
            <rFont val="Tahoma"/>
            <family val="2"/>
          </rPr>
          <t>.</t>
        </r>
        <r>
          <rPr>
            <sz val="9"/>
            <color indexed="81"/>
            <rFont val="Tahoma"/>
            <charset val="1"/>
          </rPr>
          <t xml:space="preserve">
</t>
        </r>
      </text>
    </comment>
    <comment ref="L2" author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text>
        <r>
          <rPr>
            <b/>
            <sz val="8"/>
            <color indexed="81"/>
            <rFont val="Tahoma"/>
            <family val="2"/>
          </rPr>
          <t xml:space="preserve">Vertex Size
</t>
        </r>
        <r>
          <rPr>
            <sz val="8"/>
            <color indexed="81"/>
            <rFont val="Tahoma"/>
            <family val="2"/>
          </rPr>
          <t xml:space="preserve">
Enter an optional vertex size between 1 and 100.</t>
        </r>
      </text>
    </comment>
    <comment ref="E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S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T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U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V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W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X2" authorId="2">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Y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text>
        <r>
          <rPr>
            <b/>
            <sz val="8"/>
            <color indexed="81"/>
            <rFont val="Tahoma"/>
            <family val="2"/>
          </rPr>
          <t xml:space="preserve">Group Vertices
</t>
        </r>
        <r>
          <rPr>
            <sz val="8"/>
            <color indexed="81"/>
            <rFont val="Tahoma"/>
            <family val="2"/>
          </rPr>
          <t xml:space="preserve">
This and other graph metrics can be computed with the Graph Metrics button in the Analysis group in the NodeXL Ribbon tab.</t>
        </r>
        <r>
          <rPr>
            <b/>
            <sz val="9"/>
            <color indexed="81"/>
            <rFont val="Tahoma"/>
            <charset val="1"/>
          </rPr>
          <t xml:space="preserve">
</t>
        </r>
        <r>
          <rPr>
            <sz val="9"/>
            <color indexed="81"/>
            <rFont val="Tahoma"/>
            <charset val="1"/>
          </rPr>
          <t xml:space="preserve">
</t>
        </r>
      </text>
    </comment>
    <comment ref="L2" authorId="1">
      <text>
        <r>
          <rPr>
            <b/>
            <sz val="8"/>
            <color indexed="81"/>
            <rFont val="Tahoma"/>
            <family val="2"/>
          </rPr>
          <t>Group Unique Edges</t>
        </r>
        <r>
          <rPr>
            <sz val="8"/>
            <color indexed="81"/>
            <rFont val="Tahoma"/>
            <family val="2"/>
          </rPr>
          <t xml:space="preserve">
This and other graph metrics can be computed with the Graph Metrics button in the Analysis group in the NodeXL Ribbon tab.</t>
        </r>
      </text>
    </comment>
    <comment ref="M2" authorId="1">
      <text>
        <r>
          <rPr>
            <b/>
            <sz val="8"/>
            <color indexed="81"/>
            <rFont val="Tahoma"/>
            <family val="2"/>
          </rPr>
          <t>Group Edges With Duplicates</t>
        </r>
        <r>
          <rPr>
            <sz val="8"/>
            <color indexed="81"/>
            <rFont val="Tahoma"/>
            <family val="2"/>
          </rPr>
          <t xml:space="preserve">
This and other graph metrics can be computed with the Graph Metrics button in the Analysis group in the NodeXL Ribbon tab.</t>
        </r>
        <r>
          <rPr>
            <sz val="9"/>
            <color indexed="81"/>
            <rFont val="Tahoma"/>
            <family val="2"/>
          </rPr>
          <t xml:space="preserve">
</t>
        </r>
      </text>
    </comment>
    <comment ref="N2" authorId="1">
      <text>
        <r>
          <rPr>
            <b/>
            <sz val="8"/>
            <color indexed="81"/>
            <rFont val="Tahoma"/>
            <family val="2"/>
          </rPr>
          <t>Group Total Edges</t>
        </r>
        <r>
          <rPr>
            <sz val="8"/>
            <color indexed="81"/>
            <rFont val="Tahoma"/>
            <family val="2"/>
          </rPr>
          <t xml:space="preserve">
This and other graph metrics can be computed with the Graph Metrics button in the Analysis group in the NodeXL Ribbon tab.</t>
        </r>
        <r>
          <rPr>
            <sz val="9"/>
            <color indexed="81"/>
            <rFont val="Tahoma"/>
            <family val="2"/>
          </rPr>
          <t xml:space="preserve">
</t>
        </r>
      </text>
    </comment>
    <comment ref="O2" authorId="1">
      <text>
        <r>
          <rPr>
            <b/>
            <sz val="8"/>
            <color indexed="81"/>
            <rFont val="Tahoma"/>
            <family val="2"/>
          </rPr>
          <t>Group Self-Loops</t>
        </r>
        <r>
          <rPr>
            <sz val="8"/>
            <color indexed="81"/>
            <rFont val="Tahoma"/>
            <family val="2"/>
          </rPr>
          <t xml:space="preserve">
This and other graph metrics can be computed with the Graph Metrics button in the Analysis group in the NodeXL Ribbon tab.</t>
        </r>
        <r>
          <rPr>
            <sz val="9"/>
            <color indexed="81"/>
            <rFont val="Tahoma"/>
            <family val="2"/>
          </rPr>
          <t xml:space="preserve">
</t>
        </r>
      </text>
    </comment>
    <comment ref="P2" authorId="1">
      <text>
        <r>
          <rPr>
            <b/>
            <sz val="8"/>
            <color indexed="81"/>
            <rFont val="Tahoma"/>
            <family val="2"/>
          </rPr>
          <t>Group Connected Components</t>
        </r>
        <r>
          <rPr>
            <sz val="8"/>
            <color indexed="81"/>
            <rFont val="Tahoma"/>
            <family val="2"/>
          </rPr>
          <t xml:space="preserve">
This and other graph metrics can be computed with the Graph Metrics button in the Analysis group in the NodeXL Ribbon tab.</t>
        </r>
        <r>
          <rPr>
            <b/>
            <sz val="8"/>
            <color indexed="81"/>
            <rFont val="Tahoma"/>
            <family val="2"/>
          </rPr>
          <t xml:space="preserve">
</t>
        </r>
      </text>
    </comment>
    <comment ref="Q2" authorId="1">
      <text>
        <r>
          <rPr>
            <b/>
            <sz val="8"/>
            <color indexed="81"/>
            <rFont val="Tahoma"/>
            <family val="2"/>
          </rPr>
          <t>Group Single-Vertex Connected Components</t>
        </r>
        <r>
          <rPr>
            <sz val="8"/>
            <color indexed="81"/>
            <rFont val="Tahoma"/>
            <family val="2"/>
          </rPr>
          <t xml:space="preserve">
This and other graph metrics can be computed with the Graph Metrics button in the Analysis group in the NodeXL Ribbon tab.</t>
        </r>
        <r>
          <rPr>
            <b/>
            <sz val="9"/>
            <color indexed="81"/>
            <rFont val="Tahoma"/>
            <family val="2"/>
          </rPr>
          <t xml:space="preserve">
</t>
        </r>
        <r>
          <rPr>
            <sz val="9"/>
            <color indexed="81"/>
            <rFont val="Tahoma"/>
            <family val="2"/>
          </rPr>
          <t xml:space="preserve">
</t>
        </r>
      </text>
    </comment>
    <comment ref="R2" authorId="1">
      <text>
        <r>
          <rPr>
            <b/>
            <sz val="8"/>
            <color indexed="81"/>
            <rFont val="Tahoma"/>
            <family val="2"/>
          </rPr>
          <t>Group Maximum Vertices in a Connected Component</t>
        </r>
        <r>
          <rPr>
            <sz val="8"/>
            <color indexed="81"/>
            <rFont val="Tahoma"/>
            <family val="2"/>
          </rPr>
          <t xml:space="preserve">
This and other graph metrics can be computed with the Graph Metrics button in the Analysis group in the NodeXL Ribbon tab.
</t>
        </r>
        <r>
          <rPr>
            <sz val="9"/>
            <color indexed="81"/>
            <rFont val="Tahoma"/>
            <family val="2"/>
          </rPr>
          <t xml:space="preserve">
</t>
        </r>
      </text>
    </comment>
    <comment ref="S2" authorId="1">
      <text>
        <r>
          <rPr>
            <b/>
            <sz val="8"/>
            <color indexed="81"/>
            <rFont val="Tahoma"/>
            <family val="2"/>
          </rPr>
          <t>Group Maximum Edges in a Connected Component</t>
        </r>
        <r>
          <rPr>
            <sz val="8"/>
            <color indexed="81"/>
            <rFont val="Tahoma"/>
            <family val="2"/>
          </rPr>
          <t xml:space="preserve">
This and other graph metrics can be computed with the Graph Metrics button in the Analysis group in the NodeXL Ribbon tab.</t>
        </r>
        <r>
          <rPr>
            <b/>
            <sz val="9"/>
            <color indexed="81"/>
            <rFont val="Tahoma"/>
            <family val="2"/>
          </rPr>
          <t xml:space="preserve">
</t>
        </r>
      </text>
    </comment>
    <comment ref="T2" authorId="1">
      <text>
        <r>
          <rPr>
            <b/>
            <sz val="8"/>
            <color indexed="81"/>
            <rFont val="Tahoma"/>
            <family val="2"/>
          </rPr>
          <t>Group Maximum Geodesic Distance (Diameter)</t>
        </r>
        <r>
          <rPr>
            <sz val="8"/>
            <color indexed="81"/>
            <rFont val="Tahoma"/>
            <family val="2"/>
          </rPr>
          <t xml:space="preserve">
This and other graph metrics can be computed with the Graph Metrics button in the Analysis group in the NodeXL Ribbon tab.</t>
        </r>
        <r>
          <rPr>
            <b/>
            <sz val="9"/>
            <color indexed="81"/>
            <rFont val="Tahoma"/>
            <family val="2"/>
          </rPr>
          <t xml:space="preserve">
</t>
        </r>
        <r>
          <rPr>
            <sz val="9"/>
            <color indexed="81"/>
            <rFont val="Tahoma"/>
            <family val="2"/>
          </rPr>
          <t xml:space="preserve">
</t>
        </r>
      </text>
    </comment>
    <comment ref="U2" authorId="1">
      <text>
        <r>
          <rPr>
            <b/>
            <sz val="8"/>
            <color indexed="81"/>
            <rFont val="Tahoma"/>
            <family val="2"/>
          </rPr>
          <t>Group Average Geodesic Distance</t>
        </r>
        <r>
          <rPr>
            <sz val="8"/>
            <color indexed="81"/>
            <rFont val="Tahoma"/>
            <family val="2"/>
          </rPr>
          <t xml:space="preserve">
This and other graph metrics can be computed with the Graph Metrics button in the Analysis group in the NodeXL Ribbon tab.</t>
        </r>
        <r>
          <rPr>
            <b/>
            <sz val="9"/>
            <color indexed="81"/>
            <rFont val="Tahoma"/>
            <family val="2"/>
          </rPr>
          <t xml:space="preserve">
</t>
        </r>
        <r>
          <rPr>
            <sz val="9"/>
            <color indexed="81"/>
            <rFont val="Tahoma"/>
            <family val="2"/>
          </rPr>
          <t xml:space="preserve">
</t>
        </r>
      </text>
    </comment>
    <comment ref="V2" authorId="1">
      <text>
        <r>
          <rPr>
            <b/>
            <sz val="8"/>
            <color indexed="81"/>
            <rFont val="Tahoma"/>
            <family val="2"/>
          </rPr>
          <t>Group Graph Density</t>
        </r>
        <r>
          <rPr>
            <sz val="8"/>
            <color indexed="81"/>
            <rFont val="Tahoma"/>
            <family val="2"/>
          </rPr>
          <t xml:space="preserve">
This and other graph metrics can be computed with the Graph Metrics button in the Analysis group in the NodeXL Ribbon tab.</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<sst xmlns="http://schemas.openxmlformats.org/spreadsheetml/2006/main" count="239" uniqueCount="184">
  <si>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</si>
  <si>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</si>
  <si>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</si>
  <si>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</si>
  <si>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</si>
  <si>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</si>
  <si>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</si>
  <si>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</si>
  <si>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</si>
  <si>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</si>
  <si>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</si>
  <si>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</si>
  <si>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</si>
  <si>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</si>
  <si>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</si>
  <si>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</si>
  <si>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</si>
  <si>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</si>
  <si>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</si>
  <si>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</si>
  <si>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</si>
  <si>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</si>
  <si>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</si>
  <si>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</si>
  <si>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</si>
  <si>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</si>
  <si>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</si>
  <si>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</si>
  <si>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</si>
  <si>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</si>
  <si>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</si>
  <si>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</si>
  <si>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</si>
  <si>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</si>
  <si>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</si>
  <si>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</si>
  <si>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</si>
  <si>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</si>
  <si>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</si>
  <si>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</si>
  <si>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</si>
  <si>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</si>
  <si>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</si>
  <si>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</si>
  <si>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</si>
  <si>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</si>
  <si>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</si>
  <si>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</si>
  <si>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</si>
  <si>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</si>
  <si>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</si>
  <si>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</si>
  <si>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</si>
  <si>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</si>
  <si>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</si>
  <si>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</si>
  <si>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</si>
  <si>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</si>
  <si>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</si>
  <si>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</si>
  <si>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</si>
  <si>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</si>
  <si>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</si>
  <si>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</si>
  <si>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</si>
  <si>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</si>
  <si>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</si>
  <si>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</si>
  <si>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</si>
  <si>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</si>
  <si>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</si>
  <si>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</si>
  <si>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</si>
  <si>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</si>
  <si>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</si>
  <si>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</si>
  <si>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</si>
  <si>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</si>
  <si>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</si>
  <si>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</si>
  <si>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</si>
  <si>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</si>
  <si>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</si>
  <si>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</si>
  <si>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</si>
  <si>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</si>
  <si>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</si>
  <si>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</si>
  <si>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</si>
  <si>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</si>
  <si>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</si>
  <si>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</si>
  <si>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</si>
  <si>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</si>
  <si>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</si>
  <si>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</si>
  <si>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</si>
  <si>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</si>
  <si>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</si>
  <si>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</si>
  <si>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</si>
  <si>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</si>
  <si>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</si>
  <si>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</si>
  <si>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</si>
  <si>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</si>
  <si>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</si>
  <si>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</si>
  <si>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</si>
  <si>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</si>
  <si>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</si>
  <si>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</si>
  <si>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</si>
  <si>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</si>
  <si>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</si>
  <si>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</si>
  <si>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</si>
  <si>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</si>
  <si>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</si>
  <si>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</si>
  <si>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</si>
  <si>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</si>
  <si>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</si>
  <si>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</si>
  <si>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</si>
  <si>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</si>
  <si>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</si>
  <si>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</si>
  <si>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</si>
  <si>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</si>
  <si>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</si>
  <si>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</si>
  <si>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</si>
  <si>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</si>
  <si>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</si>
  <si>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</si>
  <si>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</si>
  <si>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</si>
  <si>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</si>
  <si>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</si>
  <si>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</si>
  <si>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</si>
  <si>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</si>
  <si>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</si>
  <si>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</si>
  <si>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</si>
  <si>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</si>
  <si>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</si>
  <si>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</si>
  <si>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</si>
  <si>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</si>
  <si>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</si>
  <si>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</si>
  <si>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</si>
  <si>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</si>
  <si>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</si>
  <si>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</si>
  <si>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</si>
  <si>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</si>
  <si>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</si>
  <si>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</si>
  <si>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</si>
  <si>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</si>
  <si>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</si>
  <si>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</si>
  <si>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</si>
  <si>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</si>
  <si>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</si>
  <si>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</si>
  <si>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</si>
  <si>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Workbook Settings 1</t>
  </si>
  <si>
    <t>Workbook Settings Cell Count</t>
  </si>
  <si>
    <t>Count</t>
  </si>
  <si>
    <t>Category 1</t>
  </si>
  <si>
    <t>Category 2</t>
  </si>
  <si>
    <t>Percentage</t>
  </si>
  <si>
    <t>visibility</t>
  </si>
  <si>
    <t>Category</t>
  </si>
  <si>
    <t>Percent</t>
  </si>
  <si>
    <t>Graph History</t>
  </si>
  <si>
    <t>LayoutAlgorithm░The graph was laid out using the Fruchterman-Reingold layout algorithm.▓GraphDirectedness░The graph is undirected.</t>
  </si>
  <si>
    <t>Edges</t>
  </si>
  <si>
    <t>Vertices[Y]</t>
  </si>
  <si>
    <t>&lt;?xml version="1.0" encoding="utf-8"?&gt;_x000D_
&lt;configuration&gt;_x000D_
  &lt;configSections&gt;_x000D_
    &lt;sectionGroup name="userSettings" type="System.Configuration.UserSettingsGroup, System, Version=2.0.0.0, Culture=neutral, PublicKeyToken=b77a5c561934e089"&gt;_x000D_
      &lt;section name="DynamicFiltersUserSettings" type="System.Configuration.ClientSettingsSection, System, Version=2.0.0.0, Culture=neutral, PublicKeyToken=b77a5c561934e089" allowExeDefinition="MachineToLocalUser" requirePermission="false" /&gt;_x000D_
      &lt;section name="GeneralUserSettings4" type="System.Configuration.ClientSettingsSection, System, Version=2.0.0.0, Culture=neutral, PublicKeyToken=b77a5c561934e089" allowExeDefinition="MachineToLocalUser" requirePermission="false" /&gt;_x000D_
      &lt;section name="GraphZoomAndScaleUserSettings" type="System.Configuration.ClientSettingsSection, System, Version=2.0.0.0, Culture=neutral, PublicKeyToken=b77a5c561934e089" allowExeDefinition="MachineToLocalUser" requirePermission="false" /&gt;_x000D_
    &lt;/sectionGroup&gt;_x000D_
  &lt;/configSections&gt;_x000D_
  &lt;userSettings&gt;_x000D_
    &lt;DynamicFiltersUserSettings&gt;_x000D_
      &lt;setting name="FilterNonNumericCells" serializeAs="String"&gt;_x000D_
        &lt;value&gt;False&lt;/value&gt;_x000D_
      &lt;/setting&gt;_x000D_
      &lt;setting name="FilteredAlpha" serializeAs="String"&gt;_x000D_
        &lt;value&gt;0&lt;/value&gt;_x000D_
      &lt;/setting&gt;_x000D_
    &lt;/DynamicFiltersUserSettings&gt;_x000D_
    &lt;GeneralUserSettings4&gt;_x000D_
      &lt;setting name="SaveImportDescription" serializeAs="String"&gt;_x000D_
        &lt;value&gt;False&lt;/value&gt;_x000D_
      &lt;/setting&gt;_x000D_
      &lt;setting name="ShowGraphLegend" serializeAs="String"&gt;_x000D_
        &lt;value&gt;False&lt;/value&gt;_x000D_
      &lt;/setting&gt;_x000D_
      &lt;setting name="ShowGraphAxes" serializeAs="String"&gt;_x000D_
        &lt;value&gt;False&lt;/value&gt;_x000D_
      &lt;/setting&gt;_x000D_
      &lt;setting name="ReadVertexLabels" serializeAs="String"&gt;_x000D_
        &lt;value&gt;True&lt;/value&gt;_x000D_
      &lt;/setting&gt;_x000D_
      &lt;setting name="ClearTablesBeforeImport" serializeAs="String"&gt;_x000D_
        &lt;value&gt;True&lt;/value&gt;_x000D_
      &lt;/setting&gt;_x000D_
      &lt;setting name="ReadGroupLabels" serializeAs="String"&gt;_x000D_
        &lt;value&gt;True&lt;/value&gt;_x000D_
      &lt;/setting&gt;_x000D_
      &lt;setting name="ReadEdgeLabels" serializeAs="String"&gt;_x000D_
        &lt;value&gt;True&lt;/value&gt;_x000D_
      &lt;/setting&gt;_x000D_
      &lt;setting name="BackColor" serializeAs="String"&gt;_x000D_
        &lt;value&gt;White&lt;/value&gt;_x000D_
      &lt;/setting&gt;_x000D_
      &lt;setting name="BackgroundImageUri" serializeAs="String"&gt;_x000D_
        &lt;value /&gt;_x000D_
      &lt;/setting&gt;_x000D_
      &lt;setting name="AutoReadWorkbook" serializeAs="String"&gt;_x000D_
        &lt;value&gt;True&lt;/value&gt;_x000D_
      &lt;/setting&gt;_x000D_
      &lt;setting name="SelectedEdgeColor" serializeAs="String"&gt;_x000D_
        &lt;value&gt;Red&lt;/value&gt;_x000D_
      &lt;/setting&gt;_x000D_
      &lt;setting name="VertexAlpha" serializeAs="String"&gt;_x000D_
        &lt;value&gt;100&lt;/value&gt;_x000D_
      &lt;/setting&gt;_x000D_
      &lt;setting name="AxisFont" serializeAs="String"&gt;_x000D_
        &lt;value&gt;Microsoft Sans Serif, 8.25pt&lt;/value&gt;_x000D_
      &lt;/setting&gt;_x000D_
      &lt;setting name="EdgeBezierDisplacementFactor" serializeAs="String"&gt;_x000D_
        &lt;value&gt;0.2&lt;/value&gt;_x000D_
      &lt;/setting&gt;_x000D_
      &lt;setting name="VertexRadius" serializeAs="String"&gt;_x000D_
        &lt;value&gt;1.5&lt;/value&gt;_x000D_
      &lt;/setting&gt;_x000D_
      &lt;setting name="VertexRelativeOuterGlowSize" serializeAs="String"&gt;_x000D_
        &lt;value&gt;3&lt;/value&gt;_x000D_
      &lt;/setting&gt;_x000D_
      &lt;setting name="AutoSelect" serializeAs="String"&gt;_x000D_
        &lt;value&gt;True&lt;/value&gt;_x000D_
      &lt;/setting&gt;_x000D_
      &lt;setting name="EdgeCurveStyle" serializeAs="String"&gt;_x000D_
        &lt;value&gt;Straight&lt;/value&gt;_x000D_
      &lt;/setting&gt;_x000D_
      &lt;setting name="VertexEffect" serializeAs="String"&gt;_x000D_
        &lt;value&gt;None&lt;/value&gt;_x000D_
      &lt;/setting&gt;_x000D_
      &lt;setting name="LabelUserSettings" serializeAs="String"&gt;_x000D_
        &lt;value&gt;Microsoft Sans Serif, 14.25pt, style=Bold	White	BottomCenter	2147483647	2147483647	Black	True	200	Black	86	MiddleCenter&lt;/value&gt;_x000D_
      &lt;/setting&gt;_x000D_
      &lt;setting name="EdgeBundlerStraightening" serializeAs="String"&gt;_x000D_
        &lt;value&gt;0.15&lt;/value&gt;_x000D_
      &lt;/setting&gt;_x000D_
      &lt;setting name="EdgeAlpha" serializeAs="String"&gt;_x000D_
        &lt;value&gt;100&lt;/value&gt;_x000D_
      &lt;/setting&gt;_x000D_
      &lt;setting name="SelectedVertexColor" serializeAs="String"&gt;_x000D_
        &lt;value&gt;Red&lt;/value&gt;_x000D_
      &lt;/setting&gt;_x000D_
      &lt;setting name="VertexColor" serializeAs="String"&gt;_x000D_
        &lt;value&gt;Black&lt;/value&gt;_x000D_
      &lt;/setting&gt;_x000D_
      &lt;setting name="EdgeWidth" serializeAs="String"&gt;_x000D_
        &lt;value&gt;1&lt;/value&gt;_x000D_
      &lt;/setting&gt;_x000D_
      &lt;setting name="VertexShape" serializeAs="String"&gt;_x000D_
        &lt;value&gt;Disk&lt;/value&gt;_x000D_
      &lt;/setting&gt;_x000D_
      &lt;setting name="RelativeArrowSize" serializeAs="String"&gt;_x000D_
        &lt;value&gt;3&lt;/value&gt;_x000D_
      &lt;/setting&gt;_x000D_
      &lt;setting name="VertexImageSize" serializeAs="String"&gt;_x000D_
        &lt;value&gt;3&lt;/value&gt;_x000D_
      &lt;/setting&gt;_x000D_
      &lt;setting name="EdgeColor" serializeAs="String"&gt;_x000D_
        &lt;value&gt;Gray&lt;/value&gt;_x000D_
      &lt;/setting&gt;_x000D_
    &lt;/GeneralUserSettings4&gt;_x000D_
    &lt;GraphZoomAndScaleUserSettings&gt;_x000D_
      &lt;setting name="GraphScale" serializeAs="String"&gt;_x000D_
        &lt;value&gt;1&lt;/value&gt;_x000D_
      &lt;/setting&gt;_x000D_
    &lt;/GraphZoomAndScaleUserSettings&gt;_x000D_
  &lt;/userSettings&gt;_x000D_
&lt;/configuration&gt;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</si>
</sst>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13"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7">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5" fillId="4" borderId="10" xfId="5" applyNumberFormat="1" applyBorder="1"/>
    <xf numFmtId="0" fontId="0" fillId="3" borderId="1" xfId="7" applyNumberFormat="1" applyFont="1"/>
    <xf numFmtId="0" fontId="0" fillId="0" borderId="0" xfId="0" applyBorder="1" applyAlignment="1">
      <alignment wrapText="1"/>
    </xf>
    <xf numFmtId="0" fontId="1" fillId="0" borderId="0" xfId="0" applyFont="1"/>
    <xf numFmtId="164" fontId="1" fillId="0" borderId="0" xfId="0" applyNumberFormat="1" applyFont="1"/>
    <xf numFmtId="0" fontId="0" fillId="0" borderId="0" xfId="0" applyAlignment="1">
      <alignment vertical="center" wrapText="1"/>
    </xf>
    <xf numFmtId="0" fontId="0" fillId="0" borderId="0" xfId="3" applyNumberFormat="1" applyFont="1" applyAlignment="1">
      <alignment wrapText="1"/>
    </xf>
    <xf numFmtId="1" fontId="0" fillId="5" borderId="1" xfId="4" applyNumberFormat="1" applyFont="1"/>
    <xf numFmtId="0" fontId="0" fillId="2" borderId="1" xfId="1" applyNumberFormat="1" applyFont="1"/>
    <xf numFmtId="164" fontId="0" fillId="5" borderId="1" xfId="4" applyNumberFormat="1" applyFont="1"/>
    <xf numFmtId="164" fontId="0" fillId="3" borderId="1" xfId="7" applyNumberFormat="1" applyFont="1"/>
    <xf numFmtId="165" fontId="0" fillId="3" borderId="1" xfId="7" applyNumberFormat="1" applyFont="1"/>
    <xf numFmtId="166" fontId="0" fillId="3" borderId="1" xfId="7" applyNumberFormat="1" applyFont="1"/>
    <xf numFmtId="1" fontId="11" fillId="4" borderId="1" xfId="5" applyNumberFormat="1" applyFont="1" applyAlignment="1"/>
    <xf numFmtId="0" fontId="0" fillId="0" borderId="0" xfId="2"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4">
    <dxf>
      <numFmt numFmtId="30" formatCode="@"/>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93"/>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88294144"/>
        <c:axId val="88296064"/>
      </c:barChart>
      <c:catAx>
        <c:axId val="88294144"/>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88296064"/>
        <c:crosses val="autoZero"/>
        <c:auto val="1"/>
        <c:lblAlgn val="ctr"/>
        <c:lblOffset val="100"/>
        <c:noMultiLvlLbl val="0"/>
      </c:catAx>
      <c:valAx>
        <c:axId val="88296064"/>
        <c:scaling>
          <c:orientation val="minMax"/>
        </c:scaling>
        <c:delete val="0"/>
        <c:axPos val="l"/>
        <c:majorGridlines/>
        <c:title>
          <c:tx>
            <c:rich>
              <a:bodyPr rot="-5400000" vert="horz"/>
              <a:lstStyle/>
              <a:p>
                <a:pPr>
                  <a:defRPr/>
                </a:pPr>
                <a:r>
                  <a:rPr lang="en-US"/>
                  <a:t>Frequency</a:t>
                </a:r>
              </a:p>
            </c:rich>
          </c:tx>
          <c:layout/>
          <c:overlay val="0"/>
        </c:title>
        <c:numFmt formatCode="General" sourceLinked="1"/>
        <c:majorTickMark val="out"/>
        <c:minorTickMark val="none"/>
        <c:tickLblPos val="nextTo"/>
        <c:crossAx val="8829414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88321024"/>
        <c:axId val="88327296"/>
      </c:barChart>
      <c:catAx>
        <c:axId val="88321024"/>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88327296"/>
        <c:crosses val="autoZero"/>
        <c:auto val="1"/>
        <c:lblAlgn val="ctr"/>
        <c:lblOffset val="100"/>
        <c:noMultiLvlLbl val="0"/>
      </c:catAx>
      <c:valAx>
        <c:axId val="8832729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8832102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86001152"/>
        <c:axId val="86003072"/>
      </c:barChart>
      <c:catAx>
        <c:axId val="86001152"/>
        <c:scaling>
          <c:orientation val="minMax"/>
        </c:scaling>
        <c:delete val="1"/>
        <c:axPos val="b"/>
        <c:title>
          <c:tx>
            <c:rich>
              <a:bodyPr/>
              <a:lstStyle/>
              <a:p>
                <a:pPr>
                  <a:defRPr/>
                </a:pPr>
                <a:r>
                  <a:rPr lang="en-US"/>
                  <a:t>Out-Degree</a:t>
                </a:r>
              </a:p>
            </c:rich>
          </c:tx>
          <c:layout>
            <c:manualLayout>
              <c:xMode val="edge"/>
              <c:yMode val="edge"/>
              <c:x val="0.41379516818709683"/>
              <c:y val="0.80898890864450146"/>
            </c:manualLayout>
          </c:layout>
          <c:overlay val="0"/>
        </c:title>
        <c:numFmt formatCode="#,##0.00" sourceLinked="1"/>
        <c:majorTickMark val="out"/>
        <c:minorTickMark val="none"/>
        <c:tickLblPos val="none"/>
        <c:crossAx val="86003072"/>
        <c:crosses val="autoZero"/>
        <c:auto val="1"/>
        <c:lblAlgn val="ctr"/>
        <c:lblOffset val="100"/>
        <c:noMultiLvlLbl val="0"/>
      </c:catAx>
      <c:valAx>
        <c:axId val="8600307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8600115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86024192"/>
        <c:axId val="86026112"/>
      </c:barChart>
      <c:catAx>
        <c:axId val="86024192"/>
        <c:scaling>
          <c:orientation val="minMax"/>
        </c:scaling>
        <c:delete val="1"/>
        <c:axPos val="b"/>
        <c:title>
          <c:tx>
            <c:rich>
              <a:bodyPr/>
              <a:lstStyle/>
              <a:p>
                <a:pPr>
                  <a:defRPr/>
                </a:pPr>
                <a:r>
                  <a:rPr lang="en-US"/>
                  <a:t>Betweenness Centrality</a:t>
                </a:r>
              </a:p>
            </c:rich>
          </c:tx>
          <c:layout>
            <c:manualLayout>
              <c:xMode val="edge"/>
              <c:yMode val="edge"/>
              <c:x val="0.32728710116056042"/>
              <c:y val="0.82619320971975252"/>
            </c:manualLayout>
          </c:layout>
          <c:overlay val="0"/>
        </c:title>
        <c:numFmt formatCode="#,##0.00" sourceLinked="1"/>
        <c:majorTickMark val="out"/>
        <c:minorTickMark val="none"/>
        <c:tickLblPos val="none"/>
        <c:crossAx val="86026112"/>
        <c:crosses val="autoZero"/>
        <c:auto val="1"/>
        <c:lblAlgn val="ctr"/>
        <c:lblOffset val="100"/>
        <c:noMultiLvlLbl val="0"/>
      </c:catAx>
      <c:valAx>
        <c:axId val="860261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8602419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4450048"/>
        <c:axId val="94451968"/>
      </c:barChart>
      <c:catAx>
        <c:axId val="94450048"/>
        <c:scaling>
          <c:orientation val="minMax"/>
        </c:scaling>
        <c:delete val="1"/>
        <c:axPos val="b"/>
        <c:title>
          <c:tx>
            <c:rich>
              <a:bodyPr/>
              <a:lstStyle/>
              <a:p>
                <a:pPr>
                  <a:defRPr/>
                </a:pPr>
                <a:r>
                  <a:rPr lang="en-US"/>
                  <a:t>Closeness Centrality</a:t>
                </a:r>
              </a:p>
            </c:rich>
          </c:tx>
          <c:layout>
            <c:manualLayout>
              <c:xMode val="edge"/>
              <c:yMode val="edge"/>
              <c:x val="0.35406086287408473"/>
              <c:y val="0.82619320971975252"/>
            </c:manualLayout>
          </c:layout>
          <c:overlay val="0"/>
        </c:title>
        <c:numFmt formatCode="#,##0.00" sourceLinked="1"/>
        <c:majorTickMark val="out"/>
        <c:minorTickMark val="none"/>
        <c:tickLblPos val="none"/>
        <c:crossAx val="94451968"/>
        <c:crosses val="autoZero"/>
        <c:auto val="1"/>
        <c:lblAlgn val="ctr"/>
        <c:lblOffset val="100"/>
        <c:noMultiLvlLbl val="0"/>
      </c:catAx>
      <c:valAx>
        <c:axId val="944519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445004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4472832"/>
        <c:axId val="94495488"/>
      </c:barChart>
      <c:catAx>
        <c:axId val="94472832"/>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266"/>
              <c:y val="0.82619320971975252"/>
            </c:manualLayout>
          </c:layout>
          <c:overlay val="0"/>
        </c:title>
        <c:numFmt formatCode="#,##0.00" sourceLinked="1"/>
        <c:majorTickMark val="out"/>
        <c:minorTickMark val="none"/>
        <c:tickLblPos val="none"/>
        <c:crossAx val="94495488"/>
        <c:crosses val="autoZero"/>
        <c:auto val="1"/>
        <c:lblAlgn val="ctr"/>
        <c:lblOffset val="100"/>
        <c:noMultiLvlLbl val="0"/>
      </c:catAx>
      <c:valAx>
        <c:axId val="9449548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447283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5620480"/>
        <c:axId val="95634944"/>
      </c:barChart>
      <c:catAx>
        <c:axId val="95620480"/>
        <c:scaling>
          <c:orientation val="minMax"/>
        </c:scaling>
        <c:delete val="1"/>
        <c:axPos val="b"/>
        <c:title>
          <c:tx>
            <c:rich>
              <a:bodyPr/>
              <a:lstStyle/>
              <a:p>
                <a:pPr>
                  <a:defRPr/>
                </a:pPr>
                <a:r>
                  <a:rPr lang="en-US"/>
                  <a:t>Clustering Coefficient</a:t>
                </a:r>
              </a:p>
            </c:rich>
          </c:tx>
          <c:layout>
            <c:manualLayout>
              <c:xMode val="edge"/>
              <c:yMode val="edge"/>
              <c:x val="0.33732726180313288"/>
              <c:y val="0.82619320971975252"/>
            </c:manualLayout>
          </c:layout>
          <c:overlay val="0"/>
        </c:title>
        <c:numFmt formatCode="#,##0.00" sourceLinked="1"/>
        <c:majorTickMark val="out"/>
        <c:minorTickMark val="none"/>
        <c:tickLblPos val="none"/>
        <c:crossAx val="95634944"/>
        <c:crosses val="autoZero"/>
        <c:auto val="1"/>
        <c:lblAlgn val="ctr"/>
        <c:lblOffset val="100"/>
        <c:noMultiLvlLbl val="0"/>
      </c:catAx>
      <c:valAx>
        <c:axId val="956349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562048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5668096"/>
        <c:axId val="95674368"/>
      </c:barChart>
      <c:catAx>
        <c:axId val="9566809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95674368"/>
        <c:crosses val="autoZero"/>
        <c:auto val="1"/>
        <c:lblAlgn val="ctr"/>
        <c:lblOffset val="100"/>
        <c:noMultiLvlLbl val="0"/>
      </c:catAx>
      <c:valAx>
        <c:axId val="956743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566809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759E-3"/>
          <c:y val="8.0430855234004828E-3"/>
          <c:w val="0.99723592884220469"/>
          <c:h val="0.98391246548723932"/>
        </c:manualLayout>
      </c:layout>
      <c:barChart>
        <c:barDir val="col"/>
        <c:grouping val="clustered"/>
        <c:varyColors val="0"/>
        <c:ser>
          <c:idx val="1"/>
          <c:order val="0"/>
          <c:tx>
            <c:strRef>
              <c:f>'Overall Metrics'!$U$2</c:f>
              <c:strCache>
                <c:ptCount val="1"/>
                <c:pt idx="0">
                  <c:v>0</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4119040"/>
        <c:axId val="94120576"/>
      </c:barChart>
      <c:catAx>
        <c:axId val="94119040"/>
        <c:scaling>
          <c:orientation val="minMax"/>
        </c:scaling>
        <c:delete val="1"/>
        <c:axPos val="b"/>
        <c:numFmt formatCode="#,##0.00" sourceLinked="1"/>
        <c:majorTickMark val="out"/>
        <c:minorTickMark val="none"/>
        <c:tickLblPos val="none"/>
        <c:crossAx val="94120576"/>
        <c:crosses val="autoZero"/>
        <c:auto val="1"/>
        <c:lblAlgn val="ctr"/>
        <c:lblOffset val="100"/>
        <c:noMultiLvlLbl val="0"/>
      </c:catAx>
      <c:valAx>
        <c:axId val="94120576"/>
        <c:scaling>
          <c:orientation val="minMax"/>
        </c:scaling>
        <c:delete val="1"/>
        <c:axPos val="l"/>
        <c:numFmt formatCode="General" sourceLinked="1"/>
        <c:majorTickMark val="out"/>
        <c:minorTickMark val="none"/>
        <c:tickLblPos val="none"/>
        <c:crossAx val="94119040"/>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31</xdr:row>
      <xdr:rowOff>38100</xdr:rowOff>
    </xdr:from>
    <xdr:to>
      <xdr:col>1</xdr:col>
      <xdr:colOff>918209</xdr:colOff>
      <xdr:row>38</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45</xdr:row>
      <xdr:rowOff>38100</xdr:rowOff>
    </xdr:from>
    <xdr:to>
      <xdr:col>1</xdr:col>
      <xdr:colOff>918209</xdr:colOff>
      <xdr:row>52</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59</xdr:row>
      <xdr:rowOff>28575</xdr:rowOff>
    </xdr:from>
    <xdr:to>
      <xdr:col>1</xdr:col>
      <xdr:colOff>918209</xdr:colOff>
      <xdr:row>66</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73</xdr:row>
      <xdr:rowOff>9525</xdr:rowOff>
    </xdr:from>
    <xdr:to>
      <xdr:col>1</xdr:col>
      <xdr:colOff>918210</xdr:colOff>
      <xdr:row>80</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87</xdr:row>
      <xdr:rowOff>19050</xdr:rowOff>
    </xdr:from>
    <xdr:to>
      <xdr:col>2</xdr:col>
      <xdr:colOff>0</xdr:colOff>
      <xdr:row>94</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101</xdr:row>
      <xdr:rowOff>19050</xdr:rowOff>
    </xdr:from>
    <xdr:to>
      <xdr:col>1</xdr:col>
      <xdr:colOff>918210</xdr:colOff>
      <xdr:row>108</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129</xdr:row>
      <xdr:rowOff>9525</xdr:rowOff>
    </xdr:from>
    <xdr:to>
      <xdr:col>1</xdr:col>
      <xdr:colOff>918210</xdr:colOff>
      <xdr:row>136</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115</xdr:row>
      <xdr:rowOff>0</xdr:rowOff>
    </xdr:from>
    <xdr:to>
      <xdr:col>1</xdr:col>
      <xdr:colOff>918210</xdr:colOff>
      <xdr:row>122</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insertRow="1" totalsRowShown="0" headerRowDxfId="92" dataDxfId="91">
  <autoFilter ref="A2:N3"/>
  <tableColumns count="14">
    <tableColumn id="1" name="Vertex 1" dataDxfId="3" dataCellStyle="NodeXL Required">
      <calculatedColumnFormula>PREPEDGES!B2</calculatedColumnFormula>
    </tableColumn>
    <tableColumn id="2" name="Vertex 2" dataDxfId="1" dataCellStyle="NodeXL Required">
      <calculatedColumnFormula>PREPEDGES!C2</calculatedColumnFormula>
    </tableColumn>
    <tableColumn id="3" name="Color" dataDxfId="2" dataCellStyle="NodeXL Visual Property"/>
    <tableColumn id="4" name="Width" dataDxfId="90" dataCellStyle="NodeXL Visual Property">
      <calculatedColumnFormula>PREPEDGES!E2</calculatedColumnFormula>
    </tableColumn>
    <tableColumn id="11" name="Style" dataDxfId="89" dataCellStyle="NodeXL Visual Property">
      <calculatedColumnFormula>PREPEDGES!F2</calculatedColumnFormula>
    </tableColumn>
    <tableColumn id="5" name="Opacity" dataDxfId="88" dataCellStyle="NodeXL Visual Property"/>
    <tableColumn id="6" name="Visibility" dataDxfId="87" dataCellStyle="NodeXL Visual Property">
      <calculatedColumnFormula>PREPEDGES!G2</calculatedColumnFormula>
    </tableColumn>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calculatedColumnFormula xml:space="preserve"> IF(AND(OR(NOT(ISNUMBER(Edges[Style])), Edges[Style] &gt;= Misc!$O$2), OR(NOT(ISNUMBER(Edges[Style])), Edges[Style] &lt;= Misc!$P$2),OR(NOT(ISNUMBER(Edges[Visibility])), Edges[Visibility] &gt;= Misc!$O$3), OR(NOT(ISNUMBER(Edges[Visibility])), Edges[Visibility] &lt;= Misc!$P$3),TRUE), TRUE, FALSE)</calculatedColumnFormula>
    </tableColumn>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3" insertRow="1" totalsRowShown="0" headerRowDxfId="79" dataDxfId="78">
  <autoFilter ref="A2:AB3"/>
  <sortState ref="A3:AB22">
    <sortCondition ref="A2:A22"/>
  </sortState>
  <tableColumns count="28">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0" dataCellStyle="NodeXL Required"/>
    <tableColumn id="16" name="Label Fill Color" dataDxfId="70" dataCellStyle="NodeXL Label"/>
    <tableColumn id="9" name="Label Position" dataDxfId="69" dataCellStyle="NodeXL Label"/>
    <tableColumn id="8" name="Tooltip" dataDxfId="68" dataCellStyle="NodeXL Label"/>
    <tableColumn id="18" name="Layout Order" dataDxfId="67" dataCellStyle="NodeXL Layout"/>
    <tableColumn id="13" name="X" dataDxfId="66" dataCellStyle="NodeXL Layout"/>
    <tableColumn id="14" name="Y" dataDxfId="65" dataCellStyle="NodeXL Layout"/>
    <tableColumn id="12" name="Locked?" dataDxfId="64" dataCellStyle="NodeXL Layout"/>
    <tableColumn id="19" name="Polar R" dataDxfId="63" dataCellStyle="NodeXL Layout"/>
    <tableColumn id="20" name="Polar Angle" dataDxfId="62" dataCellStyle="NodeXL Layout"/>
    <tableColumn id="21" name="Degree" dataDxfId="61" dataCellStyle="NodeXL Graph Metric"/>
    <tableColumn id="22" name="In-Degree" dataDxfId="60" dataCellStyle="NodeXL Graph Metric"/>
    <tableColumn id="23" name="Out-Degree" dataDxfId="59" dataCellStyle="NodeXL Graph Metric"/>
    <tableColumn id="24" name="Betweenness Centrality" dataDxfId="58" dataCellStyle="NodeXL Graph Metric"/>
    <tableColumn id="25" name="Closeness Centrality" dataDxfId="57" dataCellStyle="NodeXL Graph Metric"/>
    <tableColumn id="26" name="Eigenvector Centrality" dataDxfId="56" dataCellStyle="NodeXL Graph Metric"/>
    <tableColumn id="15" name="PageRank" dataDxfId="55" dataCellStyle="NodeXL Graph Metric"/>
    <tableColumn id="27" name="Clustering Coefficient" dataDxfId="54" dataCellStyle="NodeXL Graph Metric"/>
    <tableColumn id="11" name="ID" dataDxfId="53" dataCellStyle="NodeXL Do Not Edit"/>
    <tableColumn id="28" name="Dynamic Filter" dataDxfId="52" dataCellStyle="NodeXL Do Not Edit">
      <calculatedColumnFormula xml:space="preserve"> IF(AND(OR(NOT(ISNUMBER(Vertices[Size])), Vertices[Size] &gt;= Misc!$O$4), OR(NOT(ISNUMBER(Vertices[Size])), Vertices[Size] &lt;= Misc!$P$4),OR(NOT(ISNUMBER(Vertices[X])), Vertices[X] &gt;= Misc!$O$5), OR(NOT(ISNUMBER(Vertices[X])), Vertices[X] &lt;= Misc!$P$5),OR(NOT(ISNUMBER(Vertices[Y])), Vertices[Y] &gt;= Misc!$O$6), OR(NOT(ISNUMBER(Vertices[Y])), Vertices[Y] &lt;= Misc!$P$6),TRUE), TRUE, FALSE)</calculatedColumnFormula>
    </tableColumn>
    <tableColumn id="17" name="Add Your Own Columns Here" dataDxfId="51"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V3" insertRow="1" totalsRowShown="0" headerRowDxfId="50">
  <autoFilter ref="A2:V3"/>
  <tableColumns count="22">
    <tableColumn id="1" name="Group" dataDxfId="49" dataCellStyle="NodeXL Required"/>
    <tableColumn id="2" name="Vertex Color" dataDxfId="48" dataCellStyle="NodeXL Visual Property"/>
    <tableColumn id="3" name="Vertex Shape" dataDxfId="47" dataCellStyle="NodeXL Visual Property"/>
    <tableColumn id="22" name="Visibility" dataDxfId="46" dataCellStyle="NodeXL Visual Property"/>
    <tableColumn id="4" name="Collapsed?" dataCellStyle="NodeXL Visual Property"/>
    <tableColumn id="18" name="Label" dataDxfId="45" dataCellStyle="NodeXL Label"/>
    <tableColumn id="20" name="Collapsed X" dataCellStyle="NodeXL Layout"/>
    <tableColumn id="21" name="Collapsed Y" dataCellStyle="NodeXL Layout"/>
    <tableColumn id="6" name="ID" dataDxfId="44" dataCellStyle="NodeXL Do Not Edit"/>
    <tableColumn id="19" name="Collapsed Properties" dataDxfId="43" dataCellStyle="NodeXL Do Not Edit"/>
    <tableColumn id="5" name="Vertices" dataDxfId="42" dataCellStyle="NodeXL Graph Metric"/>
    <tableColumn id="7" name="Unique Edges" dataDxfId="41" dataCellStyle="NodeXL Graph Metric"/>
    <tableColumn id="8" name="Edges With Duplicates" dataDxfId="40" dataCellStyle="NodeXL Graph Metric"/>
    <tableColumn id="9" name="Total Edges" dataDxfId="39" dataCellStyle="NodeXL Graph Metric"/>
    <tableColumn id="10" name="Self-Loops" dataDxfId="38" dataCellStyle="NodeXL Graph Metric"/>
    <tableColumn id="11" name="Connected Components" dataDxfId="37" dataCellStyle="NodeXL Graph Metric"/>
    <tableColumn id="12" name="Single-Vertex Connected Components" dataDxfId="36" dataCellStyle="NodeXL Graph Metric"/>
    <tableColumn id="13" name="Maximum Vertices in a Connected Component" dataDxfId="35" dataCellStyle="NodeXL Graph Metric"/>
    <tableColumn id="14" name="Maximum Edges in a Connected Component" dataDxfId="34" dataCellStyle="NodeXL Graph Metric"/>
    <tableColumn id="15" name="Maximum Geodesic Distance (Diameter)" dataDxfId="33" dataCellStyle="NodeXL Graph Metric"/>
    <tableColumn id="16" name="Average Geodesic Distance" dataDxfId="32" dataCellStyle="NodeXL Graph Metric"/>
    <tableColumn id="17" name="Graph Density" dataDxfId="31"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30" dataDxfId="29">
  <autoFilter ref="A1:C2"/>
  <tableColumns count="3">
    <tableColumn id="1" name="Group" dataDxfId="28"/>
    <tableColumn id="2" name="Vertex" dataDxfId="27"/>
    <tableColumn id="3" name="Vertex ID" dataDxfId="26"/>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3" totalsRowShown="0" dataCellStyle="NodeXL Graph Metric">
  <autoFilter ref="A1:B23"/>
  <tableColumns count="2">
    <tableColumn id="1" name="Graph Metric" dataDxfId="25" dataCellStyle="NodeXL Graph Metric"/>
    <tableColumn id="2" name="Value" dataDxfId="24"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23"/>
    <tableColumn id="2" name="Degree Frequency" dataDxfId="22">
      <calculatedColumnFormula>COUNTIF(Vertices[Degree], "&gt;= " &amp; D2) - COUNTIF(Vertices[Degree], "&gt;=" &amp; D3)</calculatedColumnFormula>
    </tableColumn>
    <tableColumn id="3" name="In-Degree Bin" dataDxfId="21"/>
    <tableColumn id="4" name="In-Degree Frequency" dataDxfId="20">
      <calculatedColumnFormula>COUNTIF(Vertices[In-Degree], "&gt;= " &amp; F2) - COUNTIF(Vertices[In-Degree], "&gt;=" &amp; F3)</calculatedColumnFormula>
    </tableColumn>
    <tableColumn id="5" name="Out-Degree Bin" dataDxfId="19"/>
    <tableColumn id="6" name="Out-Degree Frequency" dataDxfId="18">
      <calculatedColumnFormula>COUNTIF(Vertices[Out-Degree], "&gt;= " &amp; H2) - COUNTIF(Vertices[Out-Degree], "&gt;=" &amp; H3)</calculatedColumnFormula>
    </tableColumn>
    <tableColumn id="7" name="Betweenness Centrality Bin" dataDxfId="17"/>
    <tableColumn id="8" name="Betweenness Centrality Frequency" dataDxfId="16">
      <calculatedColumnFormula>COUNTIF(Vertices[Betweenness Centrality], "&gt;= " &amp; J2) - COUNTIF(Vertices[Betweenness Centrality], "&gt;=" &amp; J3)</calculatedColumnFormula>
    </tableColumn>
    <tableColumn id="9" name="Closeness Centrality Bin" dataDxfId="15"/>
    <tableColumn id="10" name="Closeness Centrality Frequency" dataDxfId="14">
      <calculatedColumnFormula>COUNTIF(Vertices[Closeness Centrality], "&gt;= " &amp; L2) - COUNTIF(Vertices[Closeness Centrality], "&gt;=" &amp; L3)</calculatedColumnFormula>
    </tableColumn>
    <tableColumn id="11" name="Eigenvector Centrality Bin" dataDxfId="13"/>
    <tableColumn id="12" name="Eigenvector Centrality Frequency" dataDxfId="12">
      <calculatedColumnFormula>COUNTIF(Vertices[Eigenvector Centrality], "&gt;= " &amp; N2) - COUNTIF(Vertices[Eigenvector Centrality], "&gt;=" &amp; N3)</calculatedColumnFormula>
    </tableColumn>
    <tableColumn id="18" name="PageRank Bin" dataDxfId="11"/>
    <tableColumn id="17" name="PageRank Frequency" dataDxfId="10">
      <calculatedColumnFormula>COUNTIF(Vertices[Eigenvector Centrality], "&gt;= " &amp; P2) - COUNTIF(Vertices[Eigenvector Centrality], "&gt;=" &amp; P3)</calculatedColumnFormula>
    </tableColumn>
    <tableColumn id="13" name="Clustering Coefficient Bin" dataDxfId="9"/>
    <tableColumn id="14" name="Clustering Coefficient Frequency" dataDxfId="8">
      <calculatedColumnFormula>COUNTIF(Vertices[Clustering Coefficient], "&gt;= " &amp; R2) - COUNTIF(Vertices[Clustering Coefficient], "&gt;=" &amp; R3)</calculatedColumnFormula>
    </tableColumn>
    <tableColumn id="15" name="Dynamic Filter Bin" dataDxfId="7"/>
    <tableColumn id="16" name="Dynamic Filter Frequency" dataDxfId="6">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6:B29" totalsRowShown="0" dataCellStyle="NodeXL Graph Metric">
  <autoFilter ref="A26:B29"/>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7" totalsRowShown="0" headerRowDxfId="5">
  <autoFilter ref="J1:K7"/>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6" totalsRowShown="0" headerRowDxfId="4">
  <autoFilter ref="M1:P6"/>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3"/>
  <sheetViews>
    <sheetView workbookViewId="0">
      <pane xSplit="2" ySplit="2" topLeftCell="C3" activePane="bottomRight" state="frozen"/>
      <selection pane="topRight" activeCell="C1" sqref="C1"/>
      <selection pane="bottomLeft" activeCell="A3" sqref="A3"/>
      <selection pane="bottomRight" activeCell="E13" sqref="E13"/>
    </sheetView>
  </sheetViews>
  <sheetFormatPr defaultRowHeight="15" x14ac:dyDescent="0.25"/>
  <cols>
    <col min="1" max="2" width="10.42578125" style="3"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x14ac:dyDescent="0.25">
      <c r="C1" s="18" t="s">
        <v>40</v>
      </c>
      <c r="D1" s="19"/>
      <c r="E1" s="19"/>
      <c r="F1" s="19"/>
      <c r="G1" s="18"/>
      <c r="H1" s="16" t="s">
        <v>44</v>
      </c>
      <c r="I1" s="59"/>
      <c r="J1" s="59"/>
      <c r="K1" s="35" t="s">
        <v>43</v>
      </c>
      <c r="L1" s="20" t="s">
        <v>41</v>
      </c>
      <c r="M1" s="20"/>
      <c r="N1" s="17" t="s">
        <v>42</v>
      </c>
    </row>
    <row r="2" spans="1:14" ht="30" customHeight="1" x14ac:dyDescent="0.25">
      <c r="A2" s="8" t="s">
        <v>0</v>
      </c>
      <c r="B2" s="8" t="s">
        <v>1</v>
      </c>
      <c r="C2" s="13" t="s">
        <v>2</v>
      </c>
      <c r="D2" s="13" t="s">
        <v>3</v>
      </c>
      <c r="E2" s="13" t="s">
        <v>130</v>
      </c>
      <c r="F2" s="13" t="s">
        <v>4</v>
      </c>
      <c r="G2" s="13" t="s">
        <v>11</v>
      </c>
      <c r="H2" s="11" t="s">
        <v>47</v>
      </c>
      <c r="I2" s="13" t="s">
        <v>160</v>
      </c>
      <c r="J2" s="13" t="s">
        <v>161</v>
      </c>
      <c r="K2" s="13" t="s">
        <v>165</v>
      </c>
      <c r="L2" s="13" t="s">
        <v>12</v>
      </c>
      <c r="M2" s="13" t="s">
        <v>39</v>
      </c>
      <c r="N2" s="13" t="s">
        <v>26</v>
      </c>
    </row>
    <row r="3" spans="1:14" ht="15" customHeight="1" x14ac:dyDescent="0.25">
      <c r="A3" s="78"/>
      <c r="B3" s="78"/>
      <c r="C3" s="51"/>
      <c r="D3" s="52"/>
      <c r="E3" s="60"/>
      <c r="F3" s="53"/>
      <c r="G3" s="51"/>
      <c r="H3" s="55"/>
      <c r="I3" s="54"/>
      <c r="J3" s="54"/>
      <c r="K3" s="62"/>
      <c r="L3" s="56"/>
      <c r="M3" s="56"/>
      <c r="N3" s="5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G3"/>
  <sheetViews>
    <sheetView zoomScale="96" zoomScaleNormal="96" workbookViewId="0">
      <pane xSplit="1" ySplit="2" topLeftCell="B3" activePane="bottomRight" state="frozen"/>
      <selection pane="topRight" activeCell="B1" sqref="B1"/>
      <selection pane="bottomLeft" activeCell="A3" sqref="A3"/>
      <selection pane="bottomRight" activeCell="A2" sqref="A2:AB2"/>
    </sheetView>
  </sheetViews>
  <sheetFormatPr defaultRowHeight="15" x14ac:dyDescent="0.2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5" style="3" hidden="1" customWidth="1"/>
    <col min="27" max="27" width="16" style="3" hidden="1" customWidth="1"/>
    <col min="28" max="28" width="16" style="6" bestFit="1" customWidth="1"/>
    <col min="29" max="29" width="14.28515625" style="2" customWidth="1"/>
    <col min="30" max="31" width="14.28515625" style="3" customWidth="1"/>
    <col min="32" max="32" width="11.85546875" style="3" customWidth="1"/>
    <col min="33" max="33" width="14.42578125" style="3" customWidth="1"/>
    <col min="34" max="34" width="5" customWidth="1"/>
    <col min="35" max="35" width="16" customWidth="1"/>
    <col min="36" max="36" width="16" bestFit="1" customWidth="1"/>
    <col min="37" max="38" width="9.140625" customWidth="1"/>
  </cols>
  <sheetData>
    <row r="1" spans="1:33" x14ac:dyDescent="0.25">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30" t="s">
        <v>41</v>
      </c>
      <c r="AA1" s="20"/>
      <c r="AB1" s="31" t="s">
        <v>42</v>
      </c>
      <c r="AC1"/>
      <c r="AD1"/>
      <c r="AE1"/>
      <c r="AF1"/>
      <c r="AG1"/>
    </row>
    <row r="2" spans="1:33" ht="30" customHeight="1" x14ac:dyDescent="0.25">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137</v>
      </c>
      <c r="Y2" s="13" t="s">
        <v>38</v>
      </c>
      <c r="Z2" s="11" t="s">
        <v>12</v>
      </c>
      <c r="AA2" s="11" t="s">
        <v>39</v>
      </c>
      <c r="AB2" s="8" t="s">
        <v>26</v>
      </c>
      <c r="AC2" s="3"/>
      <c r="AE2"/>
      <c r="AF2"/>
      <c r="AG2"/>
    </row>
    <row r="3" spans="1:33" x14ac:dyDescent="0.25">
      <c r="A3" s="14"/>
      <c r="B3" s="15"/>
      <c r="C3" s="15"/>
      <c r="D3" s="81"/>
      <c r="E3" s="79"/>
      <c r="F3" s="15"/>
      <c r="G3" s="15"/>
      <c r="H3" s="14"/>
      <c r="I3" s="61"/>
      <c r="J3" s="61"/>
      <c r="K3" s="16"/>
      <c r="L3" s="82"/>
      <c r="M3" s="83"/>
      <c r="N3" s="83"/>
      <c r="O3" s="73"/>
      <c r="P3" s="84"/>
      <c r="Q3" s="84"/>
      <c r="R3" s="85"/>
      <c r="S3" s="85"/>
      <c r="T3" s="85"/>
      <c r="U3" s="85"/>
      <c r="V3" s="50"/>
      <c r="W3" s="50"/>
      <c r="X3" s="50"/>
      <c r="Y3" s="50"/>
      <c r="Z3" s="80"/>
      <c r="AA3" s="80"/>
      <c r="AB3" s="86"/>
    </row>
  </sheetData>
  <dataConsolidate/>
  <dataValidations count="18">
    <dataValidation allowBlank="1" showErrorMessage="1" sqref="AC2"/>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A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H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50</v>
      </c>
    </row>
    <row r="2" spans="1:1" ht="15" customHeight="1" x14ac:dyDescent="0.25"/>
    <row r="3" spans="1:1" ht="15" customHeight="1" x14ac:dyDescent="0.25">
      <c r="A3" s="32" t="s">
        <v>51</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4.5703125" hidden="1" customWidth="1"/>
    <col min="17" max="17" width="25" hidden="1" customWidth="1"/>
    <col min="18" max="19" width="24.140625" hidden="1" customWidth="1"/>
    <col min="20" max="20" width="21.28515625" hidden="1" customWidth="1"/>
    <col min="21" max="21" width="19.28515625" hidden="1" customWidth="1"/>
    <col min="22" max="22" width="10" hidden="1" customWidth="1"/>
  </cols>
  <sheetData>
    <row r="1" spans="1:22" x14ac:dyDescent="0.25">
      <c r="B1" s="63" t="s">
        <v>40</v>
      </c>
      <c r="C1" s="64"/>
      <c r="D1" s="64"/>
      <c r="E1" s="65"/>
      <c r="F1" s="61" t="s">
        <v>44</v>
      </c>
      <c r="G1" s="66" t="s">
        <v>45</v>
      </c>
      <c r="H1" s="67"/>
      <c r="I1" s="68" t="s">
        <v>41</v>
      </c>
      <c r="J1" s="69"/>
      <c r="K1" s="70" t="s">
        <v>43</v>
      </c>
      <c r="L1" s="71"/>
      <c r="M1" s="71"/>
      <c r="N1" s="71"/>
      <c r="O1" s="71"/>
      <c r="P1" s="71"/>
      <c r="Q1" s="71"/>
      <c r="R1" s="71"/>
      <c r="S1" s="71"/>
      <c r="T1" s="71"/>
      <c r="U1" s="71"/>
      <c r="V1" s="72"/>
    </row>
    <row r="2" spans="1:22" s="13" customFormat="1" ht="30" customHeight="1" x14ac:dyDescent="0.25">
      <c r="A2" s="11" t="s">
        <v>144</v>
      </c>
      <c r="B2" s="13" t="s">
        <v>21</v>
      </c>
      <c r="C2" s="13" t="s">
        <v>20</v>
      </c>
      <c r="D2" s="13" t="s">
        <v>11</v>
      </c>
      <c r="E2" s="13" t="s">
        <v>145</v>
      </c>
      <c r="F2" s="13" t="s">
        <v>47</v>
      </c>
      <c r="G2" s="13" t="s">
        <v>167</v>
      </c>
      <c r="H2" s="13" t="s">
        <v>168</v>
      </c>
      <c r="I2" s="13" t="s">
        <v>12</v>
      </c>
      <c r="J2" s="13" t="s">
        <v>166</v>
      </c>
      <c r="K2" s="13" t="s">
        <v>146</v>
      </c>
      <c r="L2" s="13" t="s">
        <v>148</v>
      </c>
      <c r="M2" s="13" t="s">
        <v>149</v>
      </c>
      <c r="N2" s="13" t="s">
        <v>150</v>
      </c>
      <c r="O2" s="13" t="s">
        <v>151</v>
      </c>
      <c r="P2" s="13" t="s">
        <v>152</v>
      </c>
      <c r="Q2" s="13" t="s">
        <v>153</v>
      </c>
      <c r="R2" s="13" t="s">
        <v>154</v>
      </c>
      <c r="S2" s="13" t="s">
        <v>155</v>
      </c>
      <c r="T2" s="13" t="s">
        <v>156</v>
      </c>
      <c r="U2" s="13" t="s">
        <v>157</v>
      </c>
      <c r="V2" s="13" t="s">
        <v>158</v>
      </c>
    </row>
    <row r="3" spans="1:22" x14ac:dyDescent="0.25">
      <c r="A3" s="14"/>
      <c r="B3" s="15"/>
      <c r="C3" s="15"/>
      <c r="D3" s="15"/>
      <c r="E3" s="15"/>
      <c r="F3" s="16"/>
      <c r="G3" s="73"/>
      <c r="H3" s="73"/>
      <c r="I3" s="58"/>
      <c r="J3" s="58"/>
      <c r="K3" s="48"/>
      <c r="L3" s="48"/>
      <c r="M3" s="48"/>
      <c r="N3" s="48"/>
      <c r="O3" s="48"/>
      <c r="P3" s="48"/>
      <c r="Q3" s="48"/>
      <c r="R3" s="48"/>
      <c r="S3" s="48"/>
      <c r="T3" s="48"/>
      <c r="U3" s="49"/>
      <c r="V3" s="49"/>
    </row>
    <row r="10" spans="1:22" ht="14.25" customHeight="1" x14ac:dyDescent="0.25"/>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 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144</v>
      </c>
      <c r="B1" s="1" t="s">
        <v>5</v>
      </c>
      <c r="C1" s="1" t="s">
        <v>147</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1"/>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3" t="s">
        <v>162</v>
      </c>
      <c r="B1" s="13" t="s">
        <v>17</v>
      </c>
      <c r="D1" t="s">
        <v>80</v>
      </c>
      <c r="E1" t="s">
        <v>81</v>
      </c>
      <c r="F1" s="37" t="s">
        <v>87</v>
      </c>
      <c r="G1" s="38" t="s">
        <v>88</v>
      </c>
      <c r="H1" s="37" t="s">
        <v>93</v>
      </c>
      <c r="I1" s="38" t="s">
        <v>94</v>
      </c>
      <c r="J1" s="37" t="s">
        <v>99</v>
      </c>
      <c r="K1" s="38" t="s">
        <v>100</v>
      </c>
      <c r="L1" s="37" t="s">
        <v>105</v>
      </c>
      <c r="M1" s="38" t="s">
        <v>106</v>
      </c>
      <c r="N1" s="37" t="s">
        <v>111</v>
      </c>
      <c r="O1" s="38" t="s">
        <v>112</v>
      </c>
      <c r="P1" s="38" t="s">
        <v>138</v>
      </c>
      <c r="Q1" s="38" t="s">
        <v>139</v>
      </c>
      <c r="R1" s="37" t="s">
        <v>117</v>
      </c>
      <c r="S1" s="37" t="s">
        <v>118</v>
      </c>
      <c r="T1" s="37" t="s">
        <v>123</v>
      </c>
      <c r="U1" s="38" t="s">
        <v>124</v>
      </c>
      <c r="W1" t="s">
        <v>128</v>
      </c>
      <c r="X1" t="s">
        <v>17</v>
      </c>
    </row>
    <row r="2" spans="1:24" ht="15.75" thickTop="1" x14ac:dyDescent="0.25">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f ca="1">MIN(INDIRECT(DynamicFilterSourceColumnRange))</f>
        <v>0</v>
      </c>
      <c r="U2" s="40">
        <f t="shared" ref="U2:U45" ca="1" si="0">COUNTIF(INDIRECT(DynamicFilterSourceColumnRange), "&gt;= " &amp; T2) - COUNTIF(INDIRECT(DynamicFilterSourceColumnRange), "&gt;=" &amp; T3)</f>
        <v>0</v>
      </c>
      <c r="W2" t="s">
        <v>125</v>
      </c>
      <c r="X2">
        <f>ROWS(HistogramBins[Degree Bin]) - 1</f>
        <v>43</v>
      </c>
    </row>
    <row r="3" spans="1:24" x14ac:dyDescent="0.25">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f t="shared" ref="T3:T44" ca="1" si="9">T2+($T$45-$T$2)/BinDivisor</f>
        <v>0</v>
      </c>
      <c r="U3" s="42">
        <f t="shared" ca="1" si="0"/>
        <v>0</v>
      </c>
      <c r="W3" t="s">
        <v>126</v>
      </c>
      <c r="X3" t="s">
        <v>86</v>
      </c>
    </row>
    <row r="4" spans="1:24" x14ac:dyDescent="0.25">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f t="shared" ca="1" si="9"/>
        <v>0</v>
      </c>
      <c r="U4" s="40">
        <f t="shared" ca="1" si="0"/>
        <v>0</v>
      </c>
      <c r="W4" s="12" t="s">
        <v>127</v>
      </c>
      <c r="X4" s="12" t="s">
        <v>182</v>
      </c>
    </row>
    <row r="5" spans="1:24" x14ac:dyDescent="0.25">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f t="shared" ca="1" si="9"/>
        <v>0</v>
      </c>
      <c r="U5" s="42">
        <f t="shared" ca="1" si="0"/>
        <v>0</v>
      </c>
    </row>
    <row r="6" spans="1:24" x14ac:dyDescent="0.25">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f t="shared" ca="1" si="9"/>
        <v>0</v>
      </c>
      <c r="U6" s="40">
        <f t="shared" ca="1" si="0"/>
        <v>0</v>
      </c>
    </row>
    <row r="7" spans="1:24" x14ac:dyDescent="0.25">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f t="shared" ca="1" si="9"/>
        <v>0</v>
      </c>
      <c r="U7" s="42">
        <f t="shared" ca="1" si="0"/>
        <v>0</v>
      </c>
    </row>
    <row r="8" spans="1:24" x14ac:dyDescent="0.25">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f t="shared" ca="1" si="9"/>
        <v>0</v>
      </c>
      <c r="U8" s="40">
        <f t="shared" ca="1" si="0"/>
        <v>0</v>
      </c>
    </row>
    <row r="9" spans="1:24" x14ac:dyDescent="0.25">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f t="shared" ca="1" si="9"/>
        <v>0</v>
      </c>
      <c r="U9" s="42">
        <f t="shared" ca="1" si="0"/>
        <v>0</v>
      </c>
    </row>
    <row r="10" spans="1:24" x14ac:dyDescent="0.25">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f t="shared" ca="1" si="9"/>
        <v>0</v>
      </c>
      <c r="U10" s="40">
        <f t="shared" ca="1" si="0"/>
        <v>0</v>
      </c>
    </row>
    <row r="11" spans="1:24" x14ac:dyDescent="0.25">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f t="shared" ca="1" si="9"/>
        <v>0</v>
      </c>
      <c r="U11" s="42">
        <f t="shared" ca="1" si="0"/>
        <v>0</v>
      </c>
    </row>
    <row r="12" spans="1:24" x14ac:dyDescent="0.25">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f t="shared" ca="1" si="9"/>
        <v>0</v>
      </c>
      <c r="U12" s="40">
        <f t="shared" ca="1" si="0"/>
        <v>0</v>
      </c>
    </row>
    <row r="13" spans="1:24" x14ac:dyDescent="0.25">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f t="shared" ca="1" si="9"/>
        <v>0</v>
      </c>
      <c r="U13" s="42">
        <f t="shared" ca="1" si="0"/>
        <v>0</v>
      </c>
    </row>
    <row r="14" spans="1:24" x14ac:dyDescent="0.25">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f t="shared" ca="1" si="9"/>
        <v>0</v>
      </c>
      <c r="U14" s="40">
        <f t="shared" ca="1" si="0"/>
        <v>0</v>
      </c>
    </row>
    <row r="15" spans="1:24" x14ac:dyDescent="0.25">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f t="shared" ca="1" si="9"/>
        <v>0</v>
      </c>
      <c r="U15" s="42">
        <f t="shared" ca="1" si="0"/>
        <v>0</v>
      </c>
    </row>
    <row r="16" spans="1:24" x14ac:dyDescent="0.25">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f t="shared" ca="1" si="9"/>
        <v>0</v>
      </c>
      <c r="U16" s="40">
        <f t="shared" ca="1" si="0"/>
        <v>0</v>
      </c>
    </row>
    <row r="17" spans="1:21" x14ac:dyDescent="0.25">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f t="shared" ca="1" si="9"/>
        <v>0</v>
      </c>
      <c r="U17" s="42">
        <f t="shared" ca="1" si="0"/>
        <v>0</v>
      </c>
    </row>
    <row r="18" spans="1:21" x14ac:dyDescent="0.25">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f t="shared" ca="1" si="9"/>
        <v>0</v>
      </c>
      <c r="U18" s="40">
        <f t="shared" ca="1" si="0"/>
        <v>0</v>
      </c>
    </row>
    <row r="19" spans="1:21" x14ac:dyDescent="0.25">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f t="shared" ca="1" si="9"/>
        <v>0</v>
      </c>
      <c r="U19" s="42">
        <f t="shared" ca="1" si="0"/>
        <v>0</v>
      </c>
    </row>
    <row r="20" spans="1:21" x14ac:dyDescent="0.25">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f t="shared" ca="1" si="9"/>
        <v>0</v>
      </c>
      <c r="U20" s="40">
        <f t="shared" ca="1" si="0"/>
        <v>0</v>
      </c>
    </row>
    <row r="21" spans="1:21" x14ac:dyDescent="0.25">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f t="shared" ca="1" si="9"/>
        <v>0</v>
      </c>
      <c r="U21" s="42">
        <f t="shared" ca="1" si="0"/>
        <v>0</v>
      </c>
    </row>
    <row r="22" spans="1:21" x14ac:dyDescent="0.25">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f t="shared" ca="1" si="9"/>
        <v>0</v>
      </c>
      <c r="U22" s="40">
        <f t="shared" ca="1" si="0"/>
        <v>0</v>
      </c>
    </row>
    <row r="23" spans="1:21" x14ac:dyDescent="0.25">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f t="shared" ca="1" si="9"/>
        <v>0</v>
      </c>
      <c r="U23" s="42">
        <f t="shared" ca="1" si="0"/>
        <v>0</v>
      </c>
    </row>
    <row r="24" spans="1:21" x14ac:dyDescent="0.25">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f t="shared" ca="1" si="9"/>
        <v>0</v>
      </c>
      <c r="U24" s="40">
        <f t="shared" ca="1" si="0"/>
        <v>0</v>
      </c>
    </row>
    <row r="25" spans="1:21" x14ac:dyDescent="0.25">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f t="shared" ca="1" si="9"/>
        <v>0</v>
      </c>
      <c r="U25" s="42">
        <f t="shared" ca="1" si="0"/>
        <v>0</v>
      </c>
    </row>
    <row r="26" spans="1:21" x14ac:dyDescent="0.25">
      <c r="A26" t="s">
        <v>163</v>
      </c>
      <c r="B26" t="s">
        <v>17</v>
      </c>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f t="shared" ca="1" si="9"/>
        <v>0</v>
      </c>
      <c r="U26" s="40">
        <f t="shared" ca="1" si="0"/>
        <v>0</v>
      </c>
    </row>
    <row r="27" spans="1:21" x14ac:dyDescent="0.25">
      <c r="A27" s="35"/>
      <c r="B27" s="35"/>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f t="shared" ca="1" si="9"/>
        <v>0</v>
      </c>
      <c r="U27" s="42">
        <f t="shared" ca="1" si="0"/>
        <v>0</v>
      </c>
    </row>
    <row r="28" spans="1:21" x14ac:dyDescent="0.25">
      <c r="A28" s="35"/>
      <c r="B28" s="35"/>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f t="shared" ca="1" si="9"/>
        <v>0</v>
      </c>
      <c r="U28" s="40">
        <f t="shared" ca="1" si="0"/>
        <v>0</v>
      </c>
    </row>
    <row r="29" spans="1:21" x14ac:dyDescent="0.25">
      <c r="A29" s="35"/>
      <c r="B29" s="35"/>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f t="shared" ca="1" si="9"/>
        <v>0</v>
      </c>
      <c r="U29" s="42">
        <f t="shared" ca="1" si="0"/>
        <v>0</v>
      </c>
    </row>
    <row r="30" spans="1:21" x14ac:dyDescent="0.2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f t="shared" ca="1" si="9"/>
        <v>0</v>
      </c>
      <c r="U30" s="40">
        <f t="shared" ca="1" si="0"/>
        <v>0</v>
      </c>
    </row>
    <row r="31" spans="1:21" x14ac:dyDescent="0.2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f t="shared" ca="1" si="9"/>
        <v>0</v>
      </c>
      <c r="U31" s="42">
        <f t="shared" ca="1" si="0"/>
        <v>0</v>
      </c>
    </row>
    <row r="32" spans="1:21" x14ac:dyDescent="0.2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f t="shared" ca="1" si="9"/>
        <v>0</v>
      </c>
      <c r="U32" s="40">
        <f t="shared" ca="1" si="0"/>
        <v>0</v>
      </c>
    </row>
    <row r="33" spans="1:21" x14ac:dyDescent="0.25">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f t="shared" ca="1" si="9"/>
        <v>0</v>
      </c>
      <c r="U33" s="42">
        <f t="shared" ca="1" si="0"/>
        <v>0</v>
      </c>
    </row>
    <row r="34" spans="1:21" x14ac:dyDescent="0.25">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f t="shared" ca="1" si="9"/>
        <v>0</v>
      </c>
      <c r="U34" s="40">
        <f t="shared" ca="1" si="0"/>
        <v>0</v>
      </c>
    </row>
    <row r="35" spans="1:21" x14ac:dyDescent="0.25">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f t="shared" ca="1" si="9"/>
        <v>0</v>
      </c>
      <c r="U35" s="42">
        <f t="shared" ca="1" si="0"/>
        <v>0</v>
      </c>
    </row>
    <row r="36" spans="1:21" x14ac:dyDescent="0.25">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f t="shared" ca="1" si="9"/>
        <v>0</v>
      </c>
      <c r="U36" s="40">
        <f t="shared" ca="1" si="0"/>
        <v>0</v>
      </c>
    </row>
    <row r="37" spans="1:21" x14ac:dyDescent="0.25">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f t="shared" ca="1" si="9"/>
        <v>0</v>
      </c>
      <c r="U37" s="42">
        <f t="shared" ca="1" si="0"/>
        <v>0</v>
      </c>
    </row>
    <row r="38" spans="1:21" x14ac:dyDescent="0.25">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f t="shared" ca="1" si="9"/>
        <v>0</v>
      </c>
      <c r="U38" s="40">
        <f t="shared" ca="1" si="0"/>
        <v>0</v>
      </c>
    </row>
    <row r="39" spans="1:21" x14ac:dyDescent="0.25">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f t="shared" ca="1" si="9"/>
        <v>0</v>
      </c>
      <c r="U39" s="42">
        <f t="shared" ca="1" si="0"/>
        <v>0</v>
      </c>
    </row>
    <row r="40" spans="1:21" x14ac:dyDescent="0.25">
      <c r="A40" s="35" t="s">
        <v>82</v>
      </c>
      <c r="B40" s="48" t="str">
        <f>IF(COUNT(Vertices[Degree])&gt;0, D2, NoMetricMessage)</f>
        <v>Not Available</v>
      </c>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f t="shared" ca="1" si="9"/>
        <v>0</v>
      </c>
      <c r="U40" s="40">
        <f t="shared" ca="1" si="0"/>
        <v>0</v>
      </c>
    </row>
    <row r="41" spans="1:21" x14ac:dyDescent="0.25">
      <c r="A41" s="35" t="s">
        <v>83</v>
      </c>
      <c r="B41" s="48" t="str">
        <f>IF(COUNT(Vertices[Degree])&gt;0, D45, NoMetricMessage)</f>
        <v>Not Available</v>
      </c>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f t="shared" ca="1" si="9"/>
        <v>0</v>
      </c>
      <c r="U41" s="42">
        <f t="shared" ca="1" si="0"/>
        <v>0</v>
      </c>
    </row>
    <row r="42" spans="1:21" x14ac:dyDescent="0.25">
      <c r="A42" s="35" t="s">
        <v>84</v>
      </c>
      <c r="B42" s="49" t="str">
        <f>IFERROR(AVERAGE(Vertices[Degree]),NoMetricMessage)</f>
        <v>Not Available</v>
      </c>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f t="shared" ca="1" si="9"/>
        <v>0</v>
      </c>
      <c r="U42" s="40">
        <f t="shared" ca="1" si="0"/>
        <v>0</v>
      </c>
    </row>
    <row r="43" spans="1:21" x14ac:dyDescent="0.25">
      <c r="A43" s="35" t="s">
        <v>85</v>
      </c>
      <c r="B43" s="49" t="str">
        <f>IFERROR(MEDIAN(Vertices[Degree]),NoMetricMessage)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f t="shared" ca="1" si="9"/>
        <v>0</v>
      </c>
      <c r="U43" s="42">
        <f t="shared" ca="1" si="0"/>
        <v>0</v>
      </c>
    </row>
    <row r="44" spans="1:21" x14ac:dyDescent="0.25">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f t="shared" ca="1" si="9"/>
        <v>0</v>
      </c>
      <c r="U44" s="40">
        <f t="shared" ca="1" si="0"/>
        <v>0</v>
      </c>
    </row>
    <row r="45" spans="1:21" x14ac:dyDescent="0.25">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f ca="1">MAX(INDIRECT(DynamicFilterSourceColumnRange))</f>
        <v>0</v>
      </c>
      <c r="U45" s="44">
        <f t="shared" ca="1" si="0"/>
        <v>0</v>
      </c>
    </row>
    <row r="54" spans="1:2" x14ac:dyDescent="0.25">
      <c r="A54" s="35" t="s">
        <v>89</v>
      </c>
      <c r="B54" s="48" t="str">
        <f>IF(COUNT(Vertices[In-Degree])&gt;0, F2, NoMetricMessage)</f>
        <v>Not Available</v>
      </c>
    </row>
    <row r="55" spans="1:2" x14ac:dyDescent="0.25">
      <c r="A55" s="35" t="s">
        <v>90</v>
      </c>
      <c r="B55" s="48" t="str">
        <f>IF(COUNT(Vertices[In-Degree])&gt;0, F45, NoMetricMessage)</f>
        <v>Not Available</v>
      </c>
    </row>
    <row r="56" spans="1:2" x14ac:dyDescent="0.25">
      <c r="A56" s="35" t="s">
        <v>91</v>
      </c>
      <c r="B56" s="49" t="str">
        <f>IFERROR(AVERAGE(Vertices[In-Degree]),NoMetricMessage)</f>
        <v>Not Available</v>
      </c>
    </row>
    <row r="57" spans="1:2" x14ac:dyDescent="0.25">
      <c r="A57" s="35" t="s">
        <v>92</v>
      </c>
      <c r="B57" s="49" t="str">
        <f>IFERROR(MEDIAN(Vertices[In-Degree]),NoMetricMessage)</f>
        <v>Not Available</v>
      </c>
    </row>
    <row r="68" spans="1:2" x14ac:dyDescent="0.25">
      <c r="A68" s="35" t="s">
        <v>95</v>
      </c>
      <c r="B68" s="48" t="str">
        <f>IF(COUNT(Vertices[Out-Degree])&gt;0, H2, NoMetricMessage)</f>
        <v>Not Available</v>
      </c>
    </row>
    <row r="69" spans="1:2" x14ac:dyDescent="0.25">
      <c r="A69" s="35" t="s">
        <v>96</v>
      </c>
      <c r="B69" s="48" t="str">
        <f>IF(COUNT(Vertices[Out-Degree])&gt;0, H45, NoMetricMessage)</f>
        <v>Not Available</v>
      </c>
    </row>
    <row r="70" spans="1:2" x14ac:dyDescent="0.25">
      <c r="A70" s="35" t="s">
        <v>97</v>
      </c>
      <c r="B70" s="49" t="str">
        <f>IFERROR(AVERAGE(Vertices[Out-Degree]),NoMetricMessage)</f>
        <v>Not Available</v>
      </c>
    </row>
    <row r="71" spans="1:2" x14ac:dyDescent="0.25">
      <c r="A71" s="35" t="s">
        <v>98</v>
      </c>
      <c r="B71" s="49" t="str">
        <f>IFERROR(MEDIAN(Vertices[Out-Degree]),NoMetricMessage)</f>
        <v>Not Available</v>
      </c>
    </row>
    <row r="82" spans="1:2" x14ac:dyDescent="0.25">
      <c r="A82" s="35" t="s">
        <v>101</v>
      </c>
      <c r="B82" s="49" t="str">
        <f>IF(COUNT(Vertices[Betweenness Centrality])&gt;0, J2, NoMetricMessage)</f>
        <v>Not Available</v>
      </c>
    </row>
    <row r="83" spans="1:2" x14ac:dyDescent="0.25">
      <c r="A83" s="35" t="s">
        <v>102</v>
      </c>
      <c r="B83" s="49" t="str">
        <f>IF(COUNT(Vertices[Betweenness Centrality])&gt;0, J45, NoMetricMessage)</f>
        <v>Not Available</v>
      </c>
    </row>
    <row r="84" spans="1:2" x14ac:dyDescent="0.25">
      <c r="A84" s="35" t="s">
        <v>103</v>
      </c>
      <c r="B84" s="49" t="str">
        <f>IFERROR(AVERAGE(Vertices[Betweenness Centrality]),NoMetricMessage)</f>
        <v>Not Available</v>
      </c>
    </row>
    <row r="85" spans="1:2" x14ac:dyDescent="0.25">
      <c r="A85" s="35" t="s">
        <v>104</v>
      </c>
      <c r="B85" s="49" t="str">
        <f>IFERROR(MEDIAN(Vertices[Betweenness Centrality]),NoMetricMessage)</f>
        <v>Not Available</v>
      </c>
    </row>
    <row r="96" spans="1:2" x14ac:dyDescent="0.25">
      <c r="A96" s="35" t="s">
        <v>107</v>
      </c>
      <c r="B96" s="49" t="str">
        <f>IF(COUNT(Vertices[Closeness Centrality])&gt;0, L2, NoMetricMessage)</f>
        <v>Not Available</v>
      </c>
    </row>
    <row r="97" spans="1:2" x14ac:dyDescent="0.25">
      <c r="A97" s="35" t="s">
        <v>108</v>
      </c>
      <c r="B97" s="49" t="str">
        <f>IF(COUNT(Vertices[Closeness Centrality])&gt;0, L45, NoMetricMessage)</f>
        <v>Not Available</v>
      </c>
    </row>
    <row r="98" spans="1:2" x14ac:dyDescent="0.25">
      <c r="A98" s="35" t="s">
        <v>109</v>
      </c>
      <c r="B98" s="49" t="str">
        <f>IFERROR(AVERAGE(Vertices[Closeness Centrality]),NoMetricMessage)</f>
        <v>Not Available</v>
      </c>
    </row>
    <row r="99" spans="1:2" x14ac:dyDescent="0.25">
      <c r="A99" s="35" t="s">
        <v>110</v>
      </c>
      <c r="B99" s="49" t="str">
        <f>IFERROR(MEDIAN(Vertices[Closeness Centrality]),NoMetricMessage)</f>
        <v>Not Available</v>
      </c>
    </row>
    <row r="110" spans="1:2" x14ac:dyDescent="0.25">
      <c r="A110" s="35" t="s">
        <v>113</v>
      </c>
      <c r="B110" s="49" t="str">
        <f>IF(COUNT(Vertices[Eigenvector Centrality])&gt;0, N2, NoMetricMessage)</f>
        <v>Not Available</v>
      </c>
    </row>
    <row r="111" spans="1:2" x14ac:dyDescent="0.25">
      <c r="A111" s="35" t="s">
        <v>114</v>
      </c>
      <c r="B111" s="49" t="str">
        <f>IF(COUNT(Vertices[Eigenvector Centrality])&gt;0, N45, NoMetricMessage)</f>
        <v>Not Available</v>
      </c>
    </row>
    <row r="112" spans="1:2" x14ac:dyDescent="0.25">
      <c r="A112" s="35" t="s">
        <v>115</v>
      </c>
      <c r="B112" s="49" t="str">
        <f>IFERROR(AVERAGE(Vertices[Eigenvector Centrality]),NoMetricMessage)</f>
        <v>Not Available</v>
      </c>
    </row>
    <row r="113" spans="1:2" x14ac:dyDescent="0.25">
      <c r="A113" s="35" t="s">
        <v>116</v>
      </c>
      <c r="B113" s="49" t="str">
        <f>IFERROR(MEDIAN(Vertices[Eigenvector Centrality]),NoMetricMessage)</f>
        <v>Not Available</v>
      </c>
    </row>
    <row r="124" spans="1:2" x14ac:dyDescent="0.25">
      <c r="A124" s="35" t="s">
        <v>140</v>
      </c>
      <c r="B124" s="49" t="str">
        <f>IF(COUNT(Vertices[PageRank])&gt;0, P2, NoMetricMessage)</f>
        <v>Not Available</v>
      </c>
    </row>
    <row r="125" spans="1:2" x14ac:dyDescent="0.25">
      <c r="A125" s="35" t="s">
        <v>141</v>
      </c>
      <c r="B125" s="49" t="str">
        <f>IF(COUNT(Vertices[PageRank])&gt;0, P45, NoMetricMessage)</f>
        <v>Not Available</v>
      </c>
    </row>
    <row r="126" spans="1:2" x14ac:dyDescent="0.25">
      <c r="A126" s="35" t="s">
        <v>142</v>
      </c>
      <c r="B126" s="49" t="str">
        <f>IFERROR(AVERAGE(Vertices[PageRank]),NoMetricMessage)</f>
        <v>Not Available</v>
      </c>
    </row>
    <row r="127" spans="1:2" x14ac:dyDescent="0.25">
      <c r="A127" s="35" t="s">
        <v>143</v>
      </c>
      <c r="B127" s="49" t="str">
        <f>IFERROR(MEDIAN(Vertices[PageRank]),NoMetricMessage)</f>
        <v>Not Available</v>
      </c>
    </row>
    <row r="138" spans="1:2" x14ac:dyDescent="0.25">
      <c r="A138" s="35" t="s">
        <v>119</v>
      </c>
      <c r="B138" s="49" t="str">
        <f>IF(COUNT(Vertices[Clustering Coefficient])&gt;0, R2, NoMetricMessage)</f>
        <v>Not Available</v>
      </c>
    </row>
    <row r="139" spans="1:2" x14ac:dyDescent="0.25">
      <c r="A139" s="35" t="s">
        <v>120</v>
      </c>
      <c r="B139" s="49" t="str">
        <f>IF(COUNT(Vertices[Clustering Coefficient])&gt;0, R45, NoMetricMessage)</f>
        <v>Not Available</v>
      </c>
    </row>
    <row r="140" spans="1:2" x14ac:dyDescent="0.25">
      <c r="A140" s="35" t="s">
        <v>121</v>
      </c>
      <c r="B140" s="49" t="str">
        <f>IFERROR(AVERAGE(Vertices[Clustering Coefficient]),NoMetricMessage)</f>
        <v>Not Available</v>
      </c>
    </row>
    <row r="141" spans="1:2" x14ac:dyDescent="0.25">
      <c r="A141" s="35" t="s">
        <v>122</v>
      </c>
      <c r="B141"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x14ac:dyDescent="0.25">
      <c r="A1" s="5" t="s">
        <v>6</v>
      </c>
      <c r="B1" s="5" t="s">
        <v>131</v>
      </c>
      <c r="C1" s="4" t="s">
        <v>7</v>
      </c>
      <c r="D1" s="4" t="s">
        <v>9</v>
      </c>
      <c r="E1" s="4" t="s">
        <v>164</v>
      </c>
      <c r="F1" s="5" t="s">
        <v>169</v>
      </c>
      <c r="G1" s="4" t="s">
        <v>14</v>
      </c>
      <c r="H1" s="4" t="s">
        <v>68</v>
      </c>
      <c r="J1" s="4" t="s">
        <v>18</v>
      </c>
      <c r="K1" s="4" t="s">
        <v>17</v>
      </c>
      <c r="M1" s="4" t="s">
        <v>22</v>
      </c>
      <c r="N1" s="4" t="s">
        <v>23</v>
      </c>
      <c r="O1" s="4" t="s">
        <v>24</v>
      </c>
      <c r="P1" s="4" t="s">
        <v>25</v>
      </c>
    </row>
    <row r="2" spans="1:18" x14ac:dyDescent="0.25">
      <c r="A2" s="1" t="s">
        <v>52</v>
      </c>
      <c r="B2" s="1" t="s">
        <v>132</v>
      </c>
      <c r="C2" t="s">
        <v>55</v>
      </c>
      <c r="D2" t="s">
        <v>56</v>
      </c>
      <c r="E2" t="s">
        <v>56</v>
      </c>
      <c r="F2" s="1" t="s">
        <v>52</v>
      </c>
      <c r="G2" t="s">
        <v>66</v>
      </c>
      <c r="H2" t="s">
        <v>159</v>
      </c>
      <c r="J2" t="s">
        <v>19</v>
      </c>
      <c r="K2">
        <v>102</v>
      </c>
      <c r="M2" t="s">
        <v>181</v>
      </c>
      <c r="N2" t="s">
        <v>130</v>
      </c>
      <c r="O2">
        <v>2</v>
      </c>
      <c r="P2">
        <v>5</v>
      </c>
    </row>
    <row r="3" spans="1:18" x14ac:dyDescent="0.25">
      <c r="A3" s="1" t="s">
        <v>53</v>
      </c>
      <c r="B3" s="1" t="s">
        <v>133</v>
      </c>
      <c r="C3" t="s">
        <v>53</v>
      </c>
      <c r="D3" t="s">
        <v>57</v>
      </c>
      <c r="E3" t="s">
        <v>57</v>
      </c>
      <c r="F3" s="1" t="s">
        <v>53</v>
      </c>
      <c r="G3" t="s">
        <v>67</v>
      </c>
      <c r="H3" t="s">
        <v>69</v>
      </c>
      <c r="J3" t="s">
        <v>30</v>
      </c>
      <c r="K3" t="s">
        <v>31</v>
      </c>
      <c r="M3" t="s">
        <v>181</v>
      </c>
      <c r="N3" t="s">
        <v>11</v>
      </c>
      <c r="O3">
        <v>1</v>
      </c>
      <c r="P3">
        <v>2</v>
      </c>
    </row>
    <row r="4" spans="1:18" x14ac:dyDescent="0.25">
      <c r="A4" s="1" t="s">
        <v>54</v>
      </c>
      <c r="B4" s="1" t="s">
        <v>134</v>
      </c>
      <c r="C4" t="s">
        <v>54</v>
      </c>
      <c r="D4" t="s">
        <v>58</v>
      </c>
      <c r="E4" t="s">
        <v>58</v>
      </c>
      <c r="F4" s="1" t="s">
        <v>54</v>
      </c>
      <c r="G4">
        <v>0</v>
      </c>
      <c r="H4" t="s">
        <v>70</v>
      </c>
      <c r="J4" s="12" t="s">
        <v>79</v>
      </c>
      <c r="K4" s="12"/>
      <c r="M4" t="s">
        <v>146</v>
      </c>
      <c r="N4" t="s">
        <v>46</v>
      </c>
      <c r="O4">
        <v>2</v>
      </c>
      <c r="P4">
        <v>7</v>
      </c>
    </row>
    <row r="5" spans="1:18" ht="409.5" x14ac:dyDescent="0.25">
      <c r="A5">
        <v>1</v>
      </c>
      <c r="B5" s="1" t="s">
        <v>135</v>
      </c>
      <c r="C5" t="s">
        <v>52</v>
      </c>
      <c r="D5" t="s">
        <v>59</v>
      </c>
      <c r="E5" t="s">
        <v>59</v>
      </c>
      <c r="F5">
        <v>1</v>
      </c>
      <c r="G5">
        <v>1</v>
      </c>
      <c r="H5" t="s">
        <v>71</v>
      </c>
      <c r="J5" s="12" t="s">
        <v>170</v>
      </c>
      <c r="K5" s="74" t="s">
        <v>183</v>
      </c>
      <c r="M5" t="s">
        <v>146</v>
      </c>
      <c r="N5" t="s">
        <v>15</v>
      </c>
      <c r="O5">
        <v>161.60305786132801</v>
      </c>
      <c r="P5">
        <v>9837.3974609375</v>
      </c>
    </row>
    <row r="6" spans="1:18" x14ac:dyDescent="0.25">
      <c r="A6">
        <v>0</v>
      </c>
      <c r="B6" s="1" t="s">
        <v>136</v>
      </c>
      <c r="C6">
        <v>1</v>
      </c>
      <c r="D6" t="s">
        <v>60</v>
      </c>
      <c r="E6" t="s">
        <v>60</v>
      </c>
      <c r="F6">
        <v>0</v>
      </c>
      <c r="H6" t="s">
        <v>72</v>
      </c>
      <c r="J6" s="12" t="s">
        <v>171</v>
      </c>
      <c r="K6" s="12">
        <v>1</v>
      </c>
      <c r="M6" t="s">
        <v>146</v>
      </c>
      <c r="N6" t="s">
        <v>16</v>
      </c>
      <c r="O6">
        <v>140</v>
      </c>
      <c r="P6">
        <v>9858.3720703125</v>
      </c>
      <c r="R6" t="s">
        <v>129</v>
      </c>
    </row>
    <row r="7" spans="1:18" x14ac:dyDescent="0.25">
      <c r="A7">
        <v>2</v>
      </c>
      <c r="B7">
        <v>1</v>
      </c>
      <c r="C7">
        <v>0</v>
      </c>
      <c r="D7" t="s">
        <v>61</v>
      </c>
      <c r="E7" t="s">
        <v>61</v>
      </c>
      <c r="F7">
        <v>2</v>
      </c>
      <c r="H7" t="s">
        <v>73</v>
      </c>
      <c r="J7" t="s">
        <v>179</v>
      </c>
      <c r="K7" t="s">
        <v>180</v>
      </c>
    </row>
    <row r="8" spans="1:18" x14ac:dyDescent="0.25">
      <c r="A8"/>
      <c r="B8">
        <v>2</v>
      </c>
      <c r="C8">
        <v>2</v>
      </c>
      <c r="D8" t="s">
        <v>62</v>
      </c>
      <c r="E8" t="s">
        <v>62</v>
      </c>
      <c r="H8" t="s">
        <v>74</v>
      </c>
    </row>
    <row r="9" spans="1:18" x14ac:dyDescent="0.25">
      <c r="A9"/>
      <c r="B9">
        <v>3</v>
      </c>
      <c r="C9">
        <v>4</v>
      </c>
      <c r="D9" t="s">
        <v>63</v>
      </c>
      <c r="E9" t="s">
        <v>63</v>
      </c>
      <c r="H9" t="s">
        <v>75</v>
      </c>
    </row>
    <row r="10" spans="1:18" x14ac:dyDescent="0.25">
      <c r="A10"/>
      <c r="B10">
        <v>4</v>
      </c>
      <c r="D10" t="s">
        <v>64</v>
      </c>
      <c r="E10" t="s">
        <v>64</v>
      </c>
      <c r="H10" t="s">
        <v>76</v>
      </c>
    </row>
    <row r="11" spans="1:18" x14ac:dyDescent="0.25">
      <c r="A11"/>
      <c r="B11">
        <v>5</v>
      </c>
      <c r="D11" t="s">
        <v>47</v>
      </c>
      <c r="E11">
        <v>1</v>
      </c>
      <c r="H11" t="s">
        <v>77</v>
      </c>
    </row>
    <row r="12" spans="1:18" x14ac:dyDescent="0.25">
      <c r="A12"/>
      <c r="B12"/>
      <c r="D12" t="s">
        <v>65</v>
      </c>
      <c r="E12">
        <v>2</v>
      </c>
      <c r="H12">
        <v>0</v>
      </c>
    </row>
    <row r="13" spans="1:18" x14ac:dyDescent="0.25">
      <c r="A13"/>
      <c r="B13"/>
      <c r="D13">
        <v>1</v>
      </c>
      <c r="E13">
        <v>3</v>
      </c>
      <c r="H13">
        <v>1</v>
      </c>
    </row>
    <row r="14" spans="1:18" x14ac:dyDescent="0.25">
      <c r="D14">
        <v>2</v>
      </c>
      <c r="E14">
        <v>4</v>
      </c>
      <c r="H14">
        <v>2</v>
      </c>
    </row>
    <row r="15" spans="1:18" x14ac:dyDescent="0.25">
      <c r="D15">
        <v>3</v>
      </c>
      <c r="E15">
        <v>5</v>
      </c>
      <c r="H15">
        <v>3</v>
      </c>
    </row>
    <row r="16" spans="1:18" x14ac:dyDescent="0.25">
      <c r="D16">
        <v>4</v>
      </c>
      <c r="E16">
        <v>6</v>
      </c>
      <c r="H16">
        <v>4</v>
      </c>
    </row>
    <row r="17" spans="4:8" x14ac:dyDescent="0.25">
      <c r="D17">
        <v>5</v>
      </c>
      <c r="E17">
        <v>7</v>
      </c>
      <c r="H17">
        <v>5</v>
      </c>
    </row>
    <row r="18" spans="4:8" x14ac:dyDescent="0.25">
      <c r="D18">
        <v>6</v>
      </c>
      <c r="E18">
        <v>8</v>
      </c>
      <c r="H18">
        <v>6</v>
      </c>
    </row>
    <row r="19" spans="4:8" x14ac:dyDescent="0.25">
      <c r="D19">
        <v>7</v>
      </c>
      <c r="E19">
        <v>9</v>
      </c>
      <c r="H19">
        <v>7</v>
      </c>
    </row>
    <row r="20" spans="4:8" x14ac:dyDescent="0.25">
      <c r="D20">
        <v>8</v>
      </c>
      <c r="H20">
        <v>8</v>
      </c>
    </row>
    <row r="21" spans="4:8" x14ac:dyDescent="0.25">
      <c r="D21">
        <v>9</v>
      </c>
      <c r="H21">
        <v>9</v>
      </c>
    </row>
    <row r="22" spans="4:8" x14ac:dyDescent="0.25">
      <c r="D22">
        <v>10</v>
      </c>
    </row>
    <row r="23" spans="4:8"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A2" sqref="A2:C2"/>
    </sheetView>
  </sheetViews>
  <sheetFormatPr defaultRowHeight="15" x14ac:dyDescent="0.25"/>
  <cols>
    <col min="1" max="1" width="11.7109375" customWidth="1"/>
    <col min="2" max="3" width="27.42578125" bestFit="1" customWidth="1"/>
    <col min="4" max="4" width="11" bestFit="1" customWidth="1"/>
    <col min="5" max="5" width="6.5703125" bestFit="1" customWidth="1"/>
    <col min="6" max="6" width="5.42578125" bestFit="1" customWidth="1"/>
    <col min="7" max="7" width="8.5703125" bestFit="1" customWidth="1"/>
  </cols>
  <sheetData>
    <row r="1" spans="1:7" x14ac:dyDescent="0.25">
      <c r="A1" s="75" t="s">
        <v>172</v>
      </c>
      <c r="B1" s="75" t="s">
        <v>173</v>
      </c>
      <c r="C1" s="75" t="s">
        <v>174</v>
      </c>
      <c r="D1" s="76" t="s">
        <v>175</v>
      </c>
      <c r="E1" s="75" t="s">
        <v>3</v>
      </c>
      <c r="F1" s="75" t="s">
        <v>130</v>
      </c>
      <c r="G1" s="75" t="s">
        <v>176</v>
      </c>
    </row>
    <row r="2" spans="1:7" x14ac:dyDescent="0.25">
      <c r="D2" s="6">
        <f>A2/55*100</f>
        <v>0</v>
      </c>
      <c r="E2">
        <v>4</v>
      </c>
      <c r="F2">
        <f>IF(D2&gt;75,1,IF(D2&gt;50,2, IF(D2&gt;25,3,5)))</f>
        <v>5</v>
      </c>
      <c r="G2">
        <f>IF(F2=5,2,1)</f>
        <v>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1"/>
  <sheetViews>
    <sheetView tabSelected="1" workbookViewId="0">
      <selection activeCell="D8" sqref="D8"/>
    </sheetView>
  </sheetViews>
  <sheetFormatPr defaultRowHeight="15" x14ac:dyDescent="0.25"/>
  <sheetData>
    <row r="1" spans="1:5" x14ac:dyDescent="0.25">
      <c r="A1" s="75" t="s">
        <v>177</v>
      </c>
      <c r="B1" s="75" t="s">
        <v>172</v>
      </c>
      <c r="C1" s="76" t="s">
        <v>178</v>
      </c>
      <c r="D1" s="75" t="s">
        <v>172</v>
      </c>
      <c r="E1" s="75" t="s">
        <v>46</v>
      </c>
    </row>
    <row r="2" spans="1:5" x14ac:dyDescent="0.25">
      <c r="A2" s="77"/>
      <c r="B2" s="77"/>
      <c r="C2" s="77"/>
      <c r="D2" s="77"/>
      <c r="E2">
        <f>IF(C2&gt;75,7,IF(C2&gt;50,5,IF(C2&gt;25,3,2)))</f>
        <v>2</v>
      </c>
    </row>
    <row r="3" spans="1:5" x14ac:dyDescent="0.25">
      <c r="A3" s="77"/>
      <c r="B3" s="77"/>
      <c r="C3" s="77"/>
      <c r="D3" s="77"/>
    </row>
    <row r="4" spans="1:5" x14ac:dyDescent="0.25">
      <c r="A4" s="77"/>
      <c r="B4" s="77"/>
      <c r="C4" s="77"/>
      <c r="D4" s="77"/>
    </row>
    <row r="5" spans="1:5" x14ac:dyDescent="0.25">
      <c r="A5" s="77"/>
      <c r="B5" s="77"/>
      <c r="C5" s="77"/>
      <c r="D5" s="77"/>
    </row>
    <row r="6" spans="1:5" x14ac:dyDescent="0.25">
      <c r="A6" s="77"/>
      <c r="B6" s="77"/>
      <c r="C6" s="77"/>
      <c r="D6" s="77"/>
    </row>
    <row r="7" spans="1:5" x14ac:dyDescent="0.25">
      <c r="A7" s="77"/>
      <c r="B7" s="77"/>
      <c r="C7" s="77"/>
      <c r="D7" s="77"/>
    </row>
    <row r="8" spans="1:5" x14ac:dyDescent="0.25">
      <c r="A8" s="77"/>
      <c r="B8" s="77"/>
      <c r="C8" s="77"/>
      <c r="D8" s="77"/>
    </row>
    <row r="9" spans="1:5" x14ac:dyDescent="0.25">
      <c r="A9" s="77"/>
      <c r="B9" s="77"/>
      <c r="C9" s="77"/>
      <c r="D9" s="77"/>
    </row>
    <row r="10" spans="1:5" x14ac:dyDescent="0.25">
      <c r="A10" s="77"/>
      <c r="B10" s="77"/>
      <c r="C10" s="77"/>
      <c r="D10" s="77"/>
    </row>
    <row r="11" spans="1:5" x14ac:dyDescent="0.25">
      <c r="A11" s="77"/>
      <c r="B11" s="77"/>
      <c r="C11" s="77"/>
      <c r="D11" s="77"/>
    </row>
    <row r="12" spans="1:5" x14ac:dyDescent="0.25">
      <c r="A12" s="77"/>
      <c r="B12" s="77"/>
      <c r="C12" s="77"/>
      <c r="D12" s="77"/>
    </row>
    <row r="13" spans="1:5" x14ac:dyDescent="0.25">
      <c r="A13" s="77"/>
      <c r="B13" s="77"/>
      <c r="C13" s="77"/>
      <c r="D13" s="77"/>
    </row>
    <row r="14" spans="1:5" x14ac:dyDescent="0.25">
      <c r="A14" s="77"/>
      <c r="B14" s="77"/>
      <c r="C14" s="77"/>
      <c r="D14" s="77"/>
    </row>
    <row r="15" spans="1:5" x14ac:dyDescent="0.25">
      <c r="A15" s="77"/>
      <c r="B15" s="77"/>
      <c r="C15" s="77"/>
      <c r="D15" s="77"/>
    </row>
    <row r="16" spans="1:5" x14ac:dyDescent="0.25">
      <c r="A16" s="77"/>
      <c r="B16" s="77"/>
      <c r="C16" s="77"/>
      <c r="D16" s="77"/>
    </row>
    <row r="17" spans="1:4" x14ac:dyDescent="0.25">
      <c r="A17" s="77"/>
      <c r="B17" s="77"/>
      <c r="C17" s="77"/>
      <c r="D17" s="77"/>
    </row>
    <row r="18" spans="1:4" x14ac:dyDescent="0.25">
      <c r="A18" s="77"/>
      <c r="B18" s="77"/>
      <c r="C18" s="77"/>
      <c r="D18" s="77"/>
    </row>
    <row r="19" spans="1:4" x14ac:dyDescent="0.25">
      <c r="A19" s="77"/>
      <c r="B19" s="77"/>
      <c r="C19" s="77"/>
      <c r="D19" s="77"/>
    </row>
    <row r="20" spans="1:4" x14ac:dyDescent="0.25">
      <c r="A20" s="77"/>
      <c r="B20" s="77"/>
      <c r="C20" s="77"/>
      <c r="D20" s="77"/>
    </row>
    <row r="21" spans="1:4" x14ac:dyDescent="0.25">
      <c r="A21" s="77"/>
      <c r="B21" s="77"/>
      <c r="C21" s="77"/>
      <c r="D21" s="77"/>
    </row>
  </sheetData>
  <sortState ref="A2:E21">
    <sortCondition ref="A2:A2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Edges</vt:lpstr>
      <vt:lpstr>Vertices</vt:lpstr>
      <vt:lpstr>Do Not Delete</vt:lpstr>
      <vt:lpstr>Groups</vt:lpstr>
      <vt:lpstr>Group Vertices</vt:lpstr>
      <vt:lpstr>Overall Metrics</vt:lpstr>
      <vt:lpstr>Misc</vt:lpstr>
      <vt:lpstr>PREPEDGES</vt:lpstr>
      <vt:lpstr>PREPVERTICES</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Luanna Prevost</dc:creator>
  <cp:lastModifiedBy>Luanna Prevost</cp:lastModifiedBy>
  <dcterms:created xsi:type="dcterms:W3CDTF">2008-01-30T00:41:58Z</dcterms:created>
  <dcterms:modified xsi:type="dcterms:W3CDTF">2012-09-29T00:01:06Z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Smrf.NodeXL.ExcelTemplate.vsto|aa51c0f3-62b4-4782-83a8-a15dcdd17698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